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G:\2025\10月\水岸壹号21-2-1201\"/>
    </mc:Choice>
  </mc:AlternateContent>
  <xr:revisionPtr revIDLastSave="0" documentId="13_ncr:1_{D7FDDD76-8F2F-4C69-859D-E532C199D44E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  <sheet name="乙供材料" sheetId="2" r:id="rId2"/>
  </sheets>
  <definedNames>
    <definedName name="_xlnm._FilterDatabase" localSheetId="0" hidden="1">Sheet1!$B$1:$B$211</definedName>
    <definedName name="_xlnm.Print_Area" localSheetId="0">Sheet1!$A$1:$H$211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4" i="1" l="1"/>
  <c r="F75" i="1"/>
  <c r="F204" i="1"/>
  <c r="F198" i="1"/>
  <c r="F197" i="1"/>
  <c r="G195" i="1" s="1"/>
  <c r="F193" i="1"/>
  <c r="F192" i="1"/>
  <c r="F191" i="1"/>
  <c r="F190" i="1"/>
  <c r="F189" i="1"/>
  <c r="F185" i="1"/>
  <c r="F184" i="1"/>
  <c r="G182" i="1"/>
  <c r="F180" i="1"/>
  <c r="F179" i="1"/>
  <c r="F178" i="1"/>
  <c r="F177" i="1"/>
  <c r="F176" i="1"/>
  <c r="F175" i="1"/>
  <c r="F174" i="1"/>
  <c r="F173" i="1"/>
  <c r="F169" i="1"/>
  <c r="F168" i="1"/>
  <c r="G160" i="1" s="1"/>
  <c r="F167" i="1"/>
  <c r="F166" i="1"/>
  <c r="F165" i="1"/>
  <c r="F164" i="1"/>
  <c r="F163" i="1"/>
  <c r="F162" i="1"/>
  <c r="F158" i="1"/>
  <c r="F157" i="1"/>
  <c r="F156" i="1"/>
  <c r="F155" i="1"/>
  <c r="F154" i="1"/>
  <c r="F153" i="1"/>
  <c r="F152" i="1"/>
  <c r="F151" i="1"/>
  <c r="F147" i="1"/>
  <c r="F146" i="1"/>
  <c r="F145" i="1"/>
  <c r="F144" i="1"/>
  <c r="F143" i="1"/>
  <c r="F142" i="1"/>
  <c r="E141" i="1"/>
  <c r="F141" i="1" s="1"/>
  <c r="E140" i="1"/>
  <c r="F140" i="1" s="1"/>
  <c r="E138" i="1"/>
  <c r="E139" i="1" s="1"/>
  <c r="F139" i="1" s="1"/>
  <c r="F137" i="1"/>
  <c r="F136" i="1"/>
  <c r="E135" i="1"/>
  <c r="F135" i="1" s="1"/>
  <c r="E134" i="1"/>
  <c r="F134" i="1" s="1"/>
  <c r="F133" i="1"/>
  <c r="E132" i="1"/>
  <c r="F132" i="1" s="1"/>
  <c r="E131" i="1"/>
  <c r="F131" i="1" s="1"/>
  <c r="F130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E114" i="1"/>
  <c r="F114" i="1" s="1"/>
  <c r="E113" i="1"/>
  <c r="F113" i="1" s="1"/>
  <c r="E111" i="1"/>
  <c r="E112" i="1" s="1"/>
  <c r="F112" i="1" s="1"/>
  <c r="F110" i="1"/>
  <c r="F109" i="1"/>
  <c r="E108" i="1"/>
  <c r="F108" i="1" s="1"/>
  <c r="E107" i="1"/>
  <c r="F107" i="1" s="1"/>
  <c r="E106" i="1"/>
  <c r="F106" i="1" s="1"/>
  <c r="E105" i="1"/>
  <c r="F105" i="1" s="1"/>
  <c r="F104" i="1"/>
  <c r="F100" i="1"/>
  <c r="F99" i="1"/>
  <c r="F98" i="1"/>
  <c r="F97" i="1"/>
  <c r="F96" i="1"/>
  <c r="F95" i="1"/>
  <c r="F94" i="1"/>
  <c r="E93" i="1"/>
  <c r="F93" i="1" s="1"/>
  <c r="E92" i="1"/>
  <c r="F92" i="1" s="1"/>
  <c r="E90" i="1"/>
  <c r="F90" i="1" s="1"/>
  <c r="F89" i="1"/>
  <c r="F88" i="1"/>
  <c r="E87" i="1"/>
  <c r="F87" i="1" s="1"/>
  <c r="E86" i="1"/>
  <c r="F86" i="1" s="1"/>
  <c r="F85" i="1"/>
  <c r="E84" i="1"/>
  <c r="F84" i="1" s="1"/>
  <c r="E83" i="1"/>
  <c r="F83" i="1" s="1"/>
  <c r="F82" i="1"/>
  <c r="F78" i="1"/>
  <c r="F77" i="1"/>
  <c r="F76" i="1"/>
  <c r="F73" i="1"/>
  <c r="F72" i="1"/>
  <c r="F71" i="1"/>
  <c r="F70" i="1"/>
  <c r="F69" i="1"/>
  <c r="F68" i="1"/>
  <c r="F67" i="1"/>
  <c r="E66" i="1"/>
  <c r="F66" i="1" s="1"/>
  <c r="E64" i="1"/>
  <c r="F64" i="1" s="1"/>
  <c r="F63" i="1"/>
  <c r="F62" i="1"/>
  <c r="E61" i="1"/>
  <c r="F61" i="1" s="1"/>
  <c r="E60" i="1"/>
  <c r="F60" i="1" s="1"/>
  <c r="E59" i="1"/>
  <c r="F59" i="1" s="1"/>
  <c r="E58" i="1"/>
  <c r="F58" i="1" s="1"/>
  <c r="F57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E36" i="1"/>
  <c r="F36" i="1" s="1"/>
  <c r="F35" i="1"/>
  <c r="F34" i="1"/>
  <c r="E33" i="1"/>
  <c r="F33" i="1" s="1"/>
  <c r="E32" i="1"/>
  <c r="F32" i="1" s="1"/>
  <c r="F31" i="1"/>
  <c r="E30" i="1"/>
  <c r="F30" i="1" s="1"/>
  <c r="E29" i="1"/>
  <c r="F29" i="1" s="1"/>
  <c r="F28" i="1"/>
  <c r="F24" i="1"/>
  <c r="F23" i="1"/>
  <c r="F22" i="1"/>
  <c r="F21" i="1"/>
  <c r="E20" i="1"/>
  <c r="F20" i="1" s="1"/>
  <c r="E19" i="1"/>
  <c r="F19" i="1" s="1"/>
  <c r="E17" i="1"/>
  <c r="F17" i="1" s="1"/>
  <c r="F16" i="1"/>
  <c r="F15" i="1"/>
  <c r="E14" i="1"/>
  <c r="F14" i="1" s="1"/>
  <c r="E13" i="1"/>
  <c r="F13" i="1" s="1"/>
  <c r="F12" i="1"/>
  <c r="E11" i="1"/>
  <c r="F11" i="1" s="1"/>
  <c r="E10" i="1"/>
  <c r="F10" i="1" s="1"/>
  <c r="F9" i="1"/>
  <c r="E37" i="1" l="1"/>
  <c r="F37" i="1" s="1"/>
  <c r="G187" i="1"/>
  <c r="G171" i="1"/>
  <c r="G149" i="1"/>
  <c r="E18" i="1"/>
  <c r="F18" i="1" s="1"/>
  <c r="E91" i="1"/>
  <c r="F91" i="1" s="1"/>
  <c r="G80" i="1" s="1"/>
  <c r="G7" i="1"/>
  <c r="G26" i="1"/>
  <c r="F111" i="1"/>
  <c r="G102" i="1" s="1"/>
  <c r="F138" i="1"/>
  <c r="G128" i="1" s="1"/>
  <c r="E65" i="1"/>
  <c r="F65" i="1" s="1"/>
  <c r="G55" i="1" s="1"/>
  <c r="G199" i="1" l="1"/>
  <c r="E202" i="1" s="1"/>
  <c r="E203" i="1" s="1"/>
  <c r="F203" i="1" s="1"/>
  <c r="F202" i="1" l="1"/>
</calcChain>
</file>

<file path=xl/sharedStrings.xml><?xml version="1.0" encoding="utf-8"?>
<sst xmlns="http://schemas.openxmlformats.org/spreadsheetml/2006/main" count="853" uniqueCount="228">
  <si>
    <t>室内装饰轻工辅料装修预算书</t>
  </si>
  <si>
    <t>客户姓名：</t>
  </si>
  <si>
    <t>联系方式：</t>
  </si>
  <si>
    <t>主案设计师：</t>
  </si>
  <si>
    <t>李濛</t>
  </si>
  <si>
    <t>工程地址：</t>
  </si>
  <si>
    <t>水岸壹号21-2-1201</t>
  </si>
  <si>
    <t>户型面积：</t>
  </si>
  <si>
    <t>工艺标准：</t>
  </si>
  <si>
    <t>国标</t>
  </si>
  <si>
    <t>结构位置：玄关/门厅/电梯间</t>
  </si>
  <si>
    <t>序号</t>
  </si>
  <si>
    <t>项目名称</t>
  </si>
  <si>
    <t>单价（元）</t>
  </si>
  <si>
    <t>单位</t>
  </si>
  <si>
    <t>数量</t>
  </si>
  <si>
    <t>金额（元）</t>
  </si>
  <si>
    <t>材料说明</t>
  </si>
  <si>
    <t>工艺做法</t>
  </si>
  <si>
    <t>涂刷顶面界面剂</t>
  </si>
  <si>
    <t>平方米</t>
  </si>
  <si>
    <t>德高返砂克星
墙面界面剂</t>
  </si>
  <si>
    <t>1.涂刷顶面界面剂一遍。2、若原棚面水泥基层空鼓或龟裂，需经物业部门重新处理。3、如需我方处理空鼓或龟裂，根据实际情况现场另计价格。如需满墙贴布另加15元/㎡。（注：不包含刷壁纸基膜费用，如发生时应另行计算。如原始棚面为水泥棚面、大板棚面或特殊工艺的棚面时，施工时应增加相应的报价费用）。</t>
  </si>
  <si>
    <t>顶面批刮腻子</t>
  </si>
  <si>
    <t>莱恩斯
上墙乐
腻子粉</t>
  </si>
  <si>
    <t>1.重新披刮腻子粉2遍。</t>
  </si>
  <si>
    <t>顶面带光打磨</t>
  </si>
  <si>
    <t>人工</t>
  </si>
  <si>
    <t>1.细砂纸带光打磨平整。</t>
  </si>
  <si>
    <t>顶面冲筋找平</t>
  </si>
  <si>
    <t>美巢强尼</t>
  </si>
  <si>
    <t>1. 准备1:3水泥砂浆、激光水平仪等，清理墙面并湿润基层；2. 弹水平/垂直基准线，定冲筋位（间距1.2-1.8米，洞口加设）；3. 抹梯形冲筋条（宽5-8cm），靠尺+水平仪校准，初凝24小时；4. 冲筋间抹砂浆，靠尺刮平至与冲筋齐平，误差≤3mm；5. 24小时后洒水养护3-5天，验收平整度≤3mm、垂直度≤2mm，无空鼓裂缝即合格。</t>
  </si>
  <si>
    <t xml:space="preserve">顶面乳胶漆涂刷底漆                         </t>
  </si>
  <si>
    <t>多乐士5合1</t>
  </si>
  <si>
    <t>1.底漆一遍，用量达到厂家标准。</t>
  </si>
  <si>
    <t xml:space="preserve">顶面乳胶漆涂刷面漆                           </t>
  </si>
  <si>
    <t>1.面漆二遍，用量达到厂家标准。2、每户增加一色加收2元/平米。（除基础白色外赠送两种颜色，仅限调制浅色。如需刷重色系漆另加5元/㎡）。</t>
  </si>
  <si>
    <t>涂刷墙面界面剂</t>
  </si>
  <si>
    <t>1.涂刷墙面界面剂一遍。2、若原墙面水泥基层空鼓或龟裂，需经物业部门重新处理。3、如需我方处理空鼓或龟裂，根据实际情况现场另计价格。如需满墙贴布另加15元/㎡。（注：不包含刷壁纸基膜费用，如发生时应另行计算。如原始墙面为水泥墙面、大板墙面或特殊工艺的墙面时，施工时应增加相应的报价费用）。</t>
  </si>
  <si>
    <t>墙面冲筋找平</t>
  </si>
  <si>
    <t>墙面批刮腻子</t>
  </si>
  <si>
    <t>墙面带光打磨</t>
  </si>
  <si>
    <t xml:space="preserve">墙面乳胶漆涂刷底漆                         </t>
  </si>
  <si>
    <t xml:space="preserve">墙面乳胶漆涂刷面漆                           </t>
  </si>
  <si>
    <t>地砖铺贴1800x900</t>
  </si>
  <si>
    <t>水泥沙子
西牛瓷砖胶</t>
  </si>
  <si>
    <t>1.基层清理除污，水泥砂浆找平（厚度基于防盗门门槛高度）。2.选 C2TE 级瓷砖胶，按比例搅拌成膏状，静置活化后备用。低吸水率瓷砖需先刷背胶。3.弹线排版，门口等显眼处优先整砖，留缝 2-3mm。4.双面涂胶：基层刮涂 8-12mm 厚瓷砖胶（单次≤1㎡），瓷砖背面薄涂后铺贴，橡皮锤压实排气。5.用找平器、十字卡调平，高低差≤0.5mm。24 小时内禁踩踏，7 天后可以美缝。</t>
  </si>
  <si>
    <t>石膏板平面造型
叠级吊顶</t>
  </si>
  <si>
    <t>杰森无醛石膏板
高定轻钢龙骨
欧标环保欧松板</t>
  </si>
  <si>
    <t>1.主、副、边轻钢龙骨骨架，膨胀螺栓、吊筋固定，造型部分木龙骨、欧松板、多层板骨架，9mm石膏板自攻螺丝钉固定。2.披腻子、刷乳胶漆、石膏线另计。3.按展开面积计算工程量。4.立面可使用五厘或双层三厘澳松板造型。</t>
  </si>
  <si>
    <t>顶面PU素线安装
（80mm不带灯槽）</t>
  </si>
  <si>
    <t>米</t>
  </si>
  <si>
    <t>PU线条</t>
  </si>
  <si>
    <t>1. 基层处理，清理顶面灰尘油污，确保平整干燥。2. 弹线定位，按设计尺寸弹出安装基准线。3. 涂抹专用胶，线条背面均匀打胶，间距≤30cm。4. 固定安装，对齐基准线按压贴合，用蚊钉辅助固定（隐蔽处）。5. 收口处理，缝隙填专用腻子，打磨平整后刷漆。</t>
  </si>
  <si>
    <t>顶面PU素线安装
（30mm）</t>
  </si>
  <si>
    <t>结构位置：客厅及过道</t>
  </si>
  <si>
    <t>1. 准备找平砂浆、激光水平仪等，清理墙面并湿润基层；2. 弹水平/垂直基准线，定冲筋位（间距1.2-1.8米，洞口加设）；3. 抹梯形冲筋条（宽5-8cm），靠尺+水平仪校准，初凝24小时；4. 冲筋间抹砂浆，靠尺刮平至与冲筋齐平，误差≤3mm；5. 24小时后洒水养护3-5天，验收平整度≤3mm、垂直度≤2mm，无空鼓裂缝即合格</t>
  </si>
  <si>
    <t>1. 准备找平砂浆、激光水平仪等，清理墙面并湿润基层；2. 弹水平/垂直基准线，定冲筋位（间距1.2-1.8米，洞口加设）；3. 抹梯形冲筋条（宽5-8cm），靠尺+水平仪校准，初凝24小时；4. 冲筋间抹砂浆，靠尺刮平至与冲筋齐平，误差≤3mm；5. 24小时后洒水养护3-5天，验收平整度≤3mm、垂直度≤2mm，无空鼓裂缝即合格。</t>
  </si>
  <si>
    <t xml:space="preserve">墙面艺术漆涂刷                         </t>
  </si>
  <si>
    <t>1.基层处理：批刮腻子 2-3 遍，打磨平整无颗粒。2.底漆涂刷：刷专用封闭底漆，增强附着力。3.面漆施工：首遍薄涂干透，第二遍用专用工具（批刀、滚筒）拉毛或揉压，打造绒面质感。4.罩面保护：刷防尘罩面漆，提升耐磨性和耐脏性。</t>
  </si>
  <si>
    <t>窗帘盒</t>
  </si>
  <si>
    <t>1.OSB欧松板骨架，石膏板封面。2.饰面与墙面或顶面材质一致</t>
  </si>
  <si>
    <t>顶面PU素线安装
（80cm带灯槽）</t>
  </si>
  <si>
    <t>顶面PU雕花角花安装
（160x19mm）</t>
  </si>
  <si>
    <t>个</t>
  </si>
  <si>
    <t>顶面PU素线安装
（20mm）</t>
  </si>
  <si>
    <t>顶面PU雕花灯盘安装
（Φ1934mm）</t>
  </si>
  <si>
    <t>墙面PU素线安装
（30mm）</t>
  </si>
  <si>
    <t>墙面PU雕花角花安装
（120x16mm）</t>
  </si>
  <si>
    <t>墙面PU素线安装
（20mm）</t>
  </si>
  <si>
    <t>壁炉墙面造型及底座
打底封面</t>
  </si>
  <si>
    <t>1.基层处理：立面基层找平，弹出弧形基准线，固定龙骨（间距≤30cm）。2.裁切安装：按展开尺寸裁切板材，沿基准线贴合龙骨，用自攻螺丝 + 木工胶固定，螺丝间距≤15cm。3.收口打磨：接缝处填腻子，打磨平整，预留伸缩缝避免开裂。</t>
  </si>
  <si>
    <t>结构位置：餐厅厨房</t>
  </si>
  <si>
    <t>石膏板弧形顶面造型
叠级吊顶</t>
  </si>
  <si>
    <t>顶面PU弧形素线安装
（80cm）</t>
  </si>
  <si>
    <t>顶面PU素线安装
（30cm）</t>
  </si>
  <si>
    <t>下水管静音处理</t>
  </si>
  <si>
    <t>阻尼片
隔音棉</t>
  </si>
  <si>
    <t>1.管道预处理：清理管道表面灰尘油污，确保干燥无杂物。2.阻尼片粘贴：裁剪阻尼片，紧密包覆管道，接缝处重叠 5cm，用压辊压实。3.静音棉包裹：在阻尼片外层套裹静音棉，接缝错开排列，胶带固定。4.收口防护：接口处用铝箔胶带密封，避免脱落，增强隔音性。</t>
  </si>
  <si>
    <t>烟道挂网</t>
  </si>
  <si>
    <t>纤维网</t>
  </si>
  <si>
    <t>1、厨卫烟道挂网，抹灰。</t>
  </si>
  <si>
    <t>瓷砖磨边</t>
  </si>
  <si>
    <t>机制</t>
  </si>
  <si>
    <t>1.按实际工程量计算。</t>
  </si>
  <si>
    <t>结构位置：主卧室</t>
  </si>
  <si>
    <t>石膏板顶面造型
叠级吊顶</t>
  </si>
  <si>
    <t>墙面隔断弧面造型</t>
  </si>
  <si>
    <t>结构位置：女儿房</t>
  </si>
  <si>
    <t>顶面PU雕花灯盘安装
（φ1100cm）</t>
  </si>
  <si>
    <t>墙面PU顶花
定制安装</t>
  </si>
  <si>
    <t>床头墙面PU顶花
定制安装</t>
  </si>
  <si>
    <t>组</t>
  </si>
  <si>
    <t>结构位置：书房</t>
  </si>
  <si>
    <t>顶面PU雕花灯盘
定制安装</t>
  </si>
  <si>
    <t>结构位置：主卫</t>
  </si>
  <si>
    <t>铺贴600*1200墙砖</t>
  </si>
  <si>
    <t>西牛瓷砖胶
西牛瓷砖背胶</t>
  </si>
  <si>
    <t>1.基层处理。找平另计。2.瓷砖背面处理，用毛刷均匀涂刷瓷砖背胶，静置30分钟。3.按比例配置C2TE级别瓷砖胶。4.用铲刀将瓷砖胶在墙上均匀涂抹2平方米左右。再用瓷砖胶专用齿形刮板将瓷砖胶横向涂刮。5.用铲刀将瓷砖胶均匀涂抹平铺至瓷砖整个背部，厚度2-3mm。再用齿形刮刀横向涂刮。6.采用瓷砖吸提器，将瓷砖平稳上墙。确保瓷砖与浆料充分接触。用水平尺检擦瓷砖平整度。安装瓷砖留缝定位器。用水平器检查瓷砖与瓷砖间的平整度和缝隙，确保无空鼓。最后用抹布清理瓷砖表面。</t>
  </si>
  <si>
    <t>铺贴600*1200地砖</t>
  </si>
  <si>
    <t>墙地面做防水</t>
  </si>
  <si>
    <t>东方雨虹
刚柔性防水</t>
  </si>
  <si>
    <t>1.涂刷基层处理剂，覆盖回填层及墙面底部30cm范围，增强防水涂层附着力，干燥后检查并修补漏涂处。2.涂刷柔性防水涂料，重点加厚管道根部、墙角阴角等节点，涂层厚度控制在1.5mm左右，待完全干燥。3.涂刷刚性防水涂料，与第2次涂层形成互补，墙面防水高度延伸至1.8m（淋浴区），干燥后检查平整度。4.局部补涂强化，针对前三次施工的薄弱部位二次涂刷，确保防水涂层完整无漏点。5.闭水试验分为两次：一次回填之前，一次回填+防水施工完成之后。防水施工完成后静置24小时，封堵卫生间门口及地漏，注水至深度2-3cm，维持48小时，观察楼下及墙面无渗水、漏水即为合格。</t>
  </si>
  <si>
    <t>卫生间回填</t>
  </si>
  <si>
    <t>发泡水泥</t>
  </si>
  <si>
    <t>1. 基层清整“打底”：先把卫生间地面的浮土、碎渣扫干净，用水泥砂浆修补裂缝、坑洼，保证地面平整；给马桶、地漏的预留管道包上防水胶带，管口用塑料盖封严，防止回填时水泥浆堵管。2. 原料配比“调浆”：按“水泥:发泡剂:水=1:0.05:0.5”的大致比例混合（不同品牌原料可微调），用专用搅拌机搅成均匀的泡沫浆体，像浓稠的酸奶状就合适，避免太稀塌陷、太干结块。3. 分层浇筑“填实”：不能一次性倒满，分2-3层浇筑，每层厚度控制在20-30cm，倒完后用刮板轻轻刮平，让浆体自然流动填满缝隙，减少空鼓；若浆体里有大泡沫，用工具戳破避免后期开裂。4. 静置养护“固形”：浇筑完成后，在表面盖一层塑料膜保湿，静置养护72小时以上（夏天可缩短至48小时，冬天需延长），期间别踩、别堆重物，等回填层完全干燥硬化，用手按压无凹陷再做后续防水。</t>
  </si>
  <si>
    <t>红砖围砌厨卫管道</t>
  </si>
  <si>
    <t>红砖、32.5普通水泥</t>
  </si>
  <si>
    <t>1.红砖、32.5普通水泥砂浆砌筑。2.横管及其它管道降噪防潮处理另计；饰面贴砖另计。3.阀门处须预留检修口，截面不大于250×250mm。5.按实际工程量计算。</t>
  </si>
  <si>
    <t>结构位置：女儿房卫生间</t>
  </si>
  <si>
    <t>铺贴750*1500墙砖</t>
  </si>
  <si>
    <t>铺贴750*1500地砖</t>
  </si>
  <si>
    <t>结构位置：客卫生间</t>
  </si>
  <si>
    <t>施工内容：拆除砌筑</t>
  </si>
  <si>
    <t>拆除砖墙体</t>
  </si>
  <si>
    <t>1.确认墙体类型，非承重墙可拆，承重墙需审批，标记管线位置并切断对应水电。2.封闭施工区域，门窗。3.自上而下分段拆除，优先拆附属构件，用冲击钻、錾子等工具，避免暴力施工震损结构。4.及时清运建筑垃圾，检查墙体残余及周边结构，确保无安全隐患。</t>
  </si>
  <si>
    <t>墙体砌筑</t>
  </si>
  <si>
    <t>空心砖
小红砖</t>
  </si>
  <si>
    <t>1.确认非承重墙属性，清理基层浮尘、杂物，洒水湿润；弹线定位墙体轴线、标高，预留门窗洞口尺寸。2.采用空心砖或小红砖，砂浆配比合规（水泥：砂 = 1:3~1:4），搅拌均匀无结块。3.错缝搭接砌筑，灰缝厚度 8-12mm 且饱满，每皮砖挂线找平；门洞上方设过梁，转角、交接处加拉结筋。4.砌筑后 24 小时内洒水养护，持续 3-5 天；验收需符合垂直度≤5mm、平整度≤8mm，无通缝、空鼓。</t>
  </si>
  <si>
    <t>施工内容：上下水改造/电路改造/暖气改造（伟星管道）</t>
  </si>
  <si>
    <t>上水改造</t>
  </si>
  <si>
    <t>伟星</t>
  </si>
  <si>
    <t>1.管路开槽：先弹线、切割再剔槽，完成后整洁、顺直；横向横开槽不超过0.5米，且不超过单面墙宽的一半。  2.开槽布管横竖垂直。3.给水管必须沿顶面铺设。4.冷热水管应分槽铺设，槽内使用扁钩加垫皮固定，间距为800-1000mm。5.给水管不得穿越烟道、风道、塑料材质水管应远离明火，距离灶边缘不得小于400mm。6.给水管平行间距为150-200mm，没有特殊要求为150mm，出水口水平误差为2mm以内。出水口应以完成面平齐，误差为2mm以内。7.厨卫管槽内须涂刷防水涂料后，方可固定掩埋。8.冷热水管安装左热右冷，平行间距≥10cm，新改造水管采用打压测试合格（0.8兆帕，静压30分钟回落低于0.05兆帕）。9.排水管道坡度等符合自排水规范要求，排水管刷专用胶水连接牢固，灌水测试通畅无渗漏。排水管道需临时封口。10.台盆、地漏排水管高度允许时，必须使用排水S弯。11.台盆下水管布置完成后，须添加密封圈，方便后期使用。</t>
  </si>
  <si>
    <t>下水改造</t>
  </si>
  <si>
    <t>套</t>
  </si>
  <si>
    <t>1.定位马桶、台盆、地漏等洁具排污口，弹线规划管道走向，清理下沉区域杂物，基层找平。选用合规 PVC 排水管（马桶≥110mm，台盆 / 地漏≥50mm），检查管材无破损。2.按 “短路径、大坡度” 布管，排水坡度≥1%，避免迂回抬高。管道胶粘连接，端口清洁后均匀涂胶，插入到位密封；马桶排污管优先直线布置，减少弯头，预留检修口。3.采用红砖砌筑保护，每层夯实不挤压管道。4.回填后做双层防水（重点涂刷管道根部、阴阳角），闭水试验≥24 小时，无渗漏再铺地砖。5.地漏选深水封防臭型，管道穿楼板加套管密封；严禁用建筑垃圾回填，避免管道受压破损。</t>
  </si>
  <si>
    <t>电路改造</t>
  </si>
  <si>
    <t>正泰国标电线</t>
  </si>
  <si>
    <t xml:space="preserve">  1.电线规格：照明线、普通插座采用2.5mm²电线。厨房插座、空调插座线为4mm²电线。（*注：若厨房原始电线为2.5mm²，需与业主一起根据后期电器使用情况决定是否全部更换厨房电线为4mm²。）2.管路开槽：先弹线、切割再剔槽，完成后整洁、顺直；横向横开槽不超过0.5米，且不超过单面墙宽的一半。3.开槽布管横竖垂直。4.管与管之间采用套管（直接）连接，连接牢固，管与管的对口应位于套管（直接）中心，线管与底盒必须用锁扣连接。5.潮湿区域（卫生间、厨房、生活阳台）不允许在地面铺设电路，PVC线管在砌体墙上开槽铺设时，线管在槽内不得突出墙面（管表面距离墙面≤5mm）。6.布线套管时，若同一沟槽超过两根线管，管与管之间须留有间隙防止填充水泥产生空鼓，所有线管需用管卡固定，线管固定间距不大于100厘米。7.强弱电管件红蓝分色，间距不小于20厘米，禁止共管共盒，有交叉做特殊处理（包锡箔纸等方法处理）。8.严禁管内接头，接头必须在检修底盒或箱内，以便维修。穿墙、移位需用硬管连接暗盒，不能用软管连接，不能有裸线（天花板、承重梁、承重柱、承重墙移位穿墙为不破坏建筑结构强度，只能使用软管连接）。9.开关插座高度根据业主要求确定位置，需满足便捷实用的要求。底盒安装水平整齐。10.同一回路电线应穿入同一根管，管内导线的总横截面积应小于管截面的40%，全屋火、零、地线三线是否有区分，同一种类的电线颜色一致。11.所有底盒，暗盒内线头必须烫锡、绝缘胶带包好。预留灯头线头需套波纹软管保护，圆三通盖板盖好。12.全屋换线。</t>
  </si>
  <si>
    <t>暖气改造</t>
  </si>
  <si>
    <t>伟星PPR管道</t>
  </si>
  <si>
    <t>1.管路开槽：先弹线、切割再剔槽，完成后整洁、顺直；横向横开槽不超过0.5米，且不超过单面墙宽的一半。2.开槽布管横竖垂直。3.管与管之间采用高温热熔链接。4.暖气管墙上开槽铺设时，线管在槽内不得突出墙面（管表面距离墙面≤5mm）。5.暖气管链接温控阀时，须采用防漏圈链接，以防滴漏。6.暖气背后须采用钢钩挂靠，并调至水平垂直。7.暖气改造后须采用打压装置进行打压，合格确认后项目经理、设计师陪同客户进行签字。8.清扫地面墙面槽内异物，用水泥砂浆掩埋地面及墙面管路，使用工具抹平，不能有凸起以影响其他工种施工。9.暖气安装结束后，使用公司专用保护膜进行包裹，不得磕碰。10.墙面需要造型、贴砖、壁纸、刷漆之前，需要关闭阀门拆卸清理，安装后按原步骤进行安装。11.暖气片甲供。</t>
  </si>
  <si>
    <t>暖气管改造</t>
  </si>
  <si>
    <t>1.管路开槽：先弹线、切割再剔槽，完成后整洁、顺直；横向横开槽不超过0.5米，且不超过单面墙宽的一半。2.开槽布管横竖垂直。3.管与管之间采用高温热熔链接。4.暖气管地面开槽铺设时，线管在槽内不得突出地面（管表面距离墙面≤5mm）。5.提前设置好回路，如需加装须提前和业主协商。6.暖气改造后须采用打压装置进行打压，合格确认后项目经理、设计师陪同客户进行签字。7.清扫地面墙面槽内异物，用水泥砂浆掩埋地面及墙面管路，使用工具抹平，不能有凸起以影响其他工种施工。</t>
  </si>
  <si>
    <t>结构位置：其他项目</t>
  </si>
  <si>
    <t>普通成品保护费</t>
  </si>
  <si>
    <t>平米</t>
  </si>
  <si>
    <t>1.工程开工进场时室内所有水表、电表、煤气表、暖气、配电箱、客厅、卫生间、厨房地砖等专用保护膜保护。4.按整套居室建筑面积计价。</t>
  </si>
  <si>
    <t>垃圾清运</t>
  </si>
  <si>
    <t>户</t>
  </si>
  <si>
    <t>1.从施工现场运至小区内物业指定垃圾堆放处。2.不含外运费。3.垃圾须用编织袋等封装。4.不含物业收取的垃圾费。</t>
  </si>
  <si>
    <t>综合管理费</t>
  </si>
  <si>
    <t>项</t>
  </si>
  <si>
    <t>远程材料运输费</t>
  </si>
  <si>
    <t>垂直与水平
运输费</t>
  </si>
  <si>
    <t>设计取费</t>
  </si>
  <si>
    <t>赠送：正泰强弱电箱、正泰空气开关、全屋开荒保洁一次</t>
  </si>
  <si>
    <t>、</t>
  </si>
  <si>
    <r>
      <rPr>
        <b/>
        <sz val="14"/>
        <rFont val="微软雅黑"/>
        <charset val="134"/>
      </rPr>
      <t>施工工艺补充说明：</t>
    </r>
    <r>
      <rPr>
        <sz val="10"/>
        <rFont val="微软雅黑"/>
        <charset val="134"/>
      </rPr>
      <t xml:space="preserve">
1.墙体拆除前弹线切割，施工中做好下水管道防护，避免垃圾堵塞。墙体切割边缘整齐，无过度破损；下水管道通水顺畅，无堵塞。
2.墙固施工需在墙面腻子找平完成后进行，禁止进场后立即施工。墙固涂刷均匀，无漏刷、流挂现象，与基层粘结牢固。
3.电路改造采用点对点活线工艺，不强制横平竖直；厨房、卫生间、空调单独走回路。电线规格：插座 4㎡、灯线 2.5㎡。电线回路划分清晰，通电测试各点位正常；电线规格、品牌与约定一致。
4.厨房、卫生间水电走顶，遵循电上水下原则；上水管做隔音保温处理，卫生间排水管做隔音。水管打压测试无渗漏，保温层包裹紧密；排水管隔音层完整，排水无明显噪音。
5.油烟机止逆阀安装处顶部为单独一片瓷砖，不得置于十字缝位置。
6.卫生间林与区域防水涂刷高度不低于 1.8m，完工后做 48 小时闭水试验；地面找坡，确保地漏为最低点，排水顺畅。
7.厨房、卫生间贴砖采用海棠角工艺，不额外收费；卫生间墙面瓷砖与地面瓷砖对缝，厨房不做挡水条。瓷砖铺贴完成后，及时清理砖缝内杂物，为后期美缝做准备。
8.吊顶采用轻钢龙骨骨架；且龙骨骨架牢固，无松动、变形；轻钢龙骨材质符合要求。电动窗帘盒基层采用欧松板，禁止使用多层实木板。
9.墙面整体采用纯平工艺。腻子批刮均匀，无粉化、起皮。柜体 / 踢脚线贴合紧密，无缝隙。</t>
    </r>
  </si>
  <si>
    <t>甲方签字：</t>
  </si>
  <si>
    <t>乙方签字（盖章）：</t>
  </si>
  <si>
    <t>日期：</t>
  </si>
  <si>
    <t>乙供材料明细表</t>
  </si>
  <si>
    <t>品名</t>
  </si>
  <si>
    <t>品牌</t>
  </si>
  <si>
    <t>规格</t>
  </si>
  <si>
    <t>用途</t>
  </si>
  <si>
    <t>电线</t>
  </si>
  <si>
    <t>正泰</t>
  </si>
  <si>
    <t>开关2.5㎡、插座4㎡</t>
  </si>
  <si>
    <t>上水管</t>
  </si>
  <si>
    <t>入户主管路4000mm×25mm
分支管路4000mm×20mm</t>
  </si>
  <si>
    <t>水路改造</t>
  </si>
  <si>
    <t>水暖管</t>
  </si>
  <si>
    <t>4000mm×32mm</t>
  </si>
  <si>
    <t>下水管</t>
  </si>
  <si>
    <t>伟星PVC管道</t>
  </si>
  <si>
    <t>直径50mm、75mm、110mm</t>
  </si>
  <si>
    <t>线管</t>
  </si>
  <si>
    <t>伟星家装专用穿线管</t>
  </si>
  <si>
    <t>3000mm×16mm</t>
  </si>
  <si>
    <t>网线</t>
  </si>
  <si>
    <t>普鲁仕</t>
  </si>
  <si>
    <t>5G千兆超六类</t>
  </si>
  <si>
    <t>乳白胶</t>
  </si>
  <si>
    <t>三棵树</t>
  </si>
  <si>
    <t>3.5kg或16kg</t>
  </si>
  <si>
    <t>木工连接</t>
  </si>
  <si>
    <t>欧松板</t>
  </si>
  <si>
    <t>OSB环保欧松板</t>
  </si>
  <si>
    <t>2440×1220×15mm</t>
  </si>
  <si>
    <t>背景打底
吊顶打底</t>
  </si>
  <si>
    <t>瓷砖粘接剂
背胶</t>
  </si>
  <si>
    <t>西牛</t>
  </si>
  <si>
    <t>18kg</t>
  </si>
  <si>
    <t>铺贴墙地砖</t>
  </si>
  <si>
    <t>石膏线</t>
  </si>
  <si>
    <t>PU素线、角花、灯盘</t>
  </si>
  <si>
    <t>木工使用</t>
  </si>
  <si>
    <t>石膏板</t>
  </si>
  <si>
    <t>杰森郁金香系列石膏板</t>
  </si>
  <si>
    <t>1200×2000mm</t>
  </si>
  <si>
    <t>隔墙吊顶</t>
  </si>
  <si>
    <t>轻钢龙骨</t>
  </si>
  <si>
    <t>专用定制</t>
  </si>
  <si>
    <t>黄金龙骨</t>
  </si>
  <si>
    <t>木龙骨</t>
  </si>
  <si>
    <t>烘干方</t>
  </si>
  <si>
    <t>30mm×40mm</t>
  </si>
  <si>
    <t>防水剂</t>
  </si>
  <si>
    <t>东方雨虹柔性防水</t>
  </si>
  <si>
    <t>卫生间墙地</t>
  </si>
  <si>
    <t>水泥</t>
  </si>
  <si>
    <t>蒙西32.5#普通硅酸盐水泥</t>
  </si>
  <si>
    <t>50kg</t>
  </si>
  <si>
    <t>砌墙贴砖</t>
  </si>
  <si>
    <t>沙子</t>
  </si>
  <si>
    <t>中砂</t>
  </si>
  <si>
    <t>腻子粉</t>
  </si>
  <si>
    <t>莱恩斯上墙乐</t>
  </si>
  <si>
    <t>刮白涂刷</t>
  </si>
  <si>
    <t>找平砂浆</t>
  </si>
  <si>
    <t>美巢墙泥</t>
  </si>
  <si>
    <t>冲筋找平</t>
  </si>
  <si>
    <t>乳胶漆</t>
  </si>
  <si>
    <t>多乐士净味五合一</t>
  </si>
  <si>
    <t>5L、18L</t>
  </si>
  <si>
    <t>墙固</t>
  </si>
  <si>
    <t>德高反沙克星</t>
  </si>
  <si>
    <t>18L</t>
  </si>
  <si>
    <t>乙方签字：</t>
  </si>
  <si>
    <t>注：1.甲方所需购买主材基本清单；地板及相关辅料、瓷砖、灯具（所有灯具）、洁具（龙头、软管、角阀、地漏、下水线、五金挂件等）、开关插座、扣板、壁纸、理石、门、门锁、拉手、房门合页、玻璃。2.墙体改造由甲方与物业公司协调处理。3.物业公司收取的装修押金由甲方负责。如我公司施工人员违反物业规定，造成罚款，由我公司负责。4.以上具体数量如有偏差，故最终结算时按实际面积结算；5.为了您的权益，请你不要接受任何口头承诺，任何口头承诺均属无效。6.实际发生项目若与报价单不符，一切以实际发生为准。7.若增项部分超过3000元2日内到公司补齐工队方可施工。8.施工期间水费、电费由客户承担。9.以上墙漆报价，不含特殊墙面处理（如：沙灰墙、保温墙、防水腻子等）。10.市区以内施工中，工队杜绝吃、住在工地，大小便必须安装临时座便器。11.除业主要求增加项目外，增项总额超出工程报价总额5%的部分业主有权利拒绝支付。</t>
    <phoneticPr fontId="19" type="noConversion"/>
  </si>
  <si>
    <t>下水管卧墙</t>
    <phoneticPr fontId="19" type="noConversion"/>
  </si>
  <si>
    <t>项</t>
    <phoneticPr fontId="19" type="noConversion"/>
  </si>
  <si>
    <t>岩板铺贴</t>
    <phoneticPr fontId="19" type="noConversion"/>
  </si>
  <si>
    <t>水泥沙子
西牛瓷砖胶</t>
    <phoneticPr fontId="19" type="noConversion"/>
  </si>
  <si>
    <t>西牛瓷砖胶</t>
    <phoneticPr fontId="19" type="noConversion"/>
  </si>
  <si>
    <t>PVC下水管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</si>
</sst>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&quot;平&quot;&quot;方&quot;&quot;米&quot;"/>
    <numFmt numFmtId="177" formatCode="&quot;小&quot;&quot;计&quot;&quot;：&quot;0&quot;元&quot;"/>
    <numFmt numFmtId="178" formatCode="&quot;工&quot;&quot;程&quot;&quot;直&quot;&quot;接&quot;&quot;费&quot;&quot;：&quot;0&quot;元&quot;"/>
    <numFmt numFmtId="179" formatCode="0_ "/>
    <numFmt numFmtId="180" formatCode="&quot;折后价：&quot;0.00&quot;元&quot;"/>
    <numFmt numFmtId="181" formatCode="&quot;折后价：&quot;0&quot;元&quot;"/>
    <numFmt numFmtId="182" formatCode="&quot;总&quot;&quot;计&quot;&quot;：&quot;0&quot;元&quot;"/>
  </numFmts>
  <fonts count="23" x14ac:knownFonts="1">
    <font>
      <sz val="11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"/>
      <color theme="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32"/>
      <name val="微软雅黑"/>
      <charset val="134"/>
    </font>
    <font>
      <sz val="8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i/>
      <sz val="10"/>
      <name val="微软雅黑"/>
      <charset val="134"/>
    </font>
    <font>
      <sz val="9"/>
      <name val="微软雅黑 Light"/>
      <charset val="134"/>
    </font>
    <font>
      <sz val="8"/>
      <name val="微软雅黑 Light"/>
      <charset val="134"/>
    </font>
    <font>
      <sz val="12"/>
      <color indexed="10"/>
      <name val="宋体"/>
      <charset val="134"/>
    </font>
    <font>
      <b/>
      <i/>
      <sz val="10"/>
      <name val="微软雅黑"/>
      <charset val="134"/>
    </font>
    <font>
      <sz val="10"/>
      <name val="宋体"/>
      <charset val="134"/>
    </font>
    <font>
      <sz val="8"/>
      <name val="黑体"/>
      <charset val="134"/>
    </font>
    <font>
      <b/>
      <i/>
      <sz val="20"/>
      <name val="微软雅黑"/>
      <charset val="134"/>
    </font>
    <font>
      <b/>
      <sz val="14"/>
      <name val="微软雅黑"/>
      <charset val="134"/>
    </font>
    <font>
      <sz val="9"/>
      <name val="等线"/>
      <family val="3"/>
      <charset val="134"/>
      <scheme val="minor"/>
    </font>
    <font>
      <sz val="10"/>
      <name val="微软雅黑"/>
      <family val="2"/>
      <charset val="134"/>
    </font>
    <font>
      <sz val="9"/>
      <name val="微软雅黑 Light"/>
      <family val="2"/>
      <charset val="134"/>
    </font>
    <font>
      <sz val="8"/>
      <name val="微软雅黑 Light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ashDotDot">
        <color theme="0" tint="-0.34998626667073579"/>
      </right>
      <top/>
      <bottom style="dashDotDot">
        <color theme="0" tint="-0.34998626667073579"/>
      </bottom>
      <diagonal/>
    </border>
    <border>
      <left style="dashDotDot">
        <color theme="0" tint="-0.34998626667073579"/>
      </left>
      <right style="dashDotDot">
        <color theme="0" tint="-0.34998626667073579"/>
      </right>
      <top/>
      <bottom style="dashDotDot">
        <color theme="0" tint="-0.34998626667073579"/>
      </bottom>
      <diagonal/>
    </border>
    <border>
      <left style="dashDotDot">
        <color theme="0" tint="-0.34998626667073579"/>
      </left>
      <right/>
      <top/>
      <bottom style="dashDotDot">
        <color theme="0" tint="-0.34998626667073579"/>
      </bottom>
      <diagonal/>
    </border>
    <border>
      <left/>
      <right style="dashDotDot">
        <color theme="0" tint="-0.34998626667073579"/>
      </right>
      <top style="dashDotDot">
        <color theme="0" tint="-0.34998626667073579"/>
      </top>
      <bottom style="dashDotDot">
        <color theme="0" tint="-0.34998626667073579"/>
      </bottom>
      <diagonal/>
    </border>
    <border>
      <left style="dashDotDot">
        <color theme="0" tint="-0.34998626667073579"/>
      </left>
      <right style="dashDotDot">
        <color theme="0" tint="-0.34998626667073579"/>
      </right>
      <top style="dashDotDot">
        <color theme="0" tint="-0.34998626667073579"/>
      </top>
      <bottom style="dashDotDot">
        <color theme="0" tint="-0.34998626667073579"/>
      </bottom>
      <diagonal/>
    </border>
    <border>
      <left style="dashDotDot">
        <color theme="0" tint="-0.34998626667073579"/>
      </left>
      <right/>
      <top style="dashDotDot">
        <color theme="0" tint="-0.34998626667073579"/>
      </top>
      <bottom style="dashDotDot">
        <color theme="0" tint="-0.3499862666707357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8" fillId="3" borderId="10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13" fontId="11" fillId="3" borderId="10" xfId="0" applyNumberFormat="1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left" vertical="center" wrapText="1"/>
    </xf>
    <xf numFmtId="0" fontId="13" fillId="0" borderId="0" xfId="0" applyFont="1">
      <alignment vertical="center"/>
    </xf>
    <xf numFmtId="0" fontId="11" fillId="3" borderId="8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left" vertical="center" wrapText="1"/>
    </xf>
    <xf numFmtId="0" fontId="16" fillId="4" borderId="9" xfId="0" applyFont="1" applyFill="1" applyBorder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9" fontId="8" fillId="3" borderId="10" xfId="0" applyNumberFormat="1" applyFont="1" applyFill="1" applyBorder="1" applyAlignment="1">
      <alignment horizontal="center" vertical="center" wrapText="1"/>
    </xf>
    <xf numFmtId="13" fontId="8" fillId="3" borderId="10" xfId="0" applyNumberFormat="1" applyFont="1" applyFill="1" applyBorder="1" applyAlignment="1">
      <alignment horizontal="center" vertical="center" wrapText="1"/>
    </xf>
    <xf numFmtId="179" fontId="8" fillId="3" borderId="10" xfId="0" applyNumberFormat="1" applyFont="1" applyFill="1" applyBorder="1" applyAlignment="1">
      <alignment horizontal="center" vertical="center" wrapText="1"/>
    </xf>
    <xf numFmtId="180" fontId="14" fillId="3" borderId="11" xfId="0" applyNumberFormat="1" applyFont="1" applyFill="1" applyBorder="1" applyAlignment="1">
      <alignment horizontal="left" vertical="center"/>
    </xf>
    <xf numFmtId="181" fontId="14" fillId="3" borderId="11" xfId="0" applyNumberFormat="1" applyFont="1" applyFill="1" applyBorder="1" applyAlignment="1">
      <alignment horizontal="left" vertical="center" wrapText="1"/>
    </xf>
    <xf numFmtId="0" fontId="14" fillId="3" borderId="11" xfId="0" applyFont="1" applyFill="1" applyBorder="1" applyAlignment="1">
      <alignment horizontal="left" vertical="center" wrapText="1"/>
    </xf>
    <xf numFmtId="0" fontId="0" fillId="4" borderId="0" xfId="0" applyFill="1">
      <alignment vertical="center"/>
    </xf>
    <xf numFmtId="0" fontId="9" fillId="3" borderId="0" xfId="0" applyFont="1" applyFill="1" applyAlignment="1">
      <alignment vertical="center" wrapText="1"/>
    </xf>
    <xf numFmtId="0" fontId="15" fillId="4" borderId="12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20" fillId="3" borderId="15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/>
    </xf>
    <xf numFmtId="0" fontId="9" fillId="3" borderId="17" xfId="0" applyFont="1" applyFill="1" applyBorder="1" applyAlignment="1">
      <alignment horizontal="left" vertical="center"/>
    </xf>
    <xf numFmtId="0" fontId="9" fillId="3" borderId="1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178" fontId="14" fillId="3" borderId="11" xfId="0" applyNumberFormat="1" applyFont="1" applyFill="1" applyBorder="1" applyAlignment="1">
      <alignment horizontal="left" vertical="center" wrapText="1"/>
    </xf>
    <xf numFmtId="178" fontId="14" fillId="3" borderId="8" xfId="0" applyNumberFormat="1" applyFont="1" applyFill="1" applyBorder="1" applyAlignment="1">
      <alignment horizontal="left" vertical="center" wrapText="1"/>
    </xf>
    <xf numFmtId="0" fontId="15" fillId="4" borderId="9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 wrapText="1"/>
    </xf>
    <xf numFmtId="0" fontId="15" fillId="4" borderId="11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 wrapText="1"/>
    </xf>
    <xf numFmtId="182" fontId="14" fillId="3" borderId="11" xfId="0" applyNumberFormat="1" applyFont="1" applyFill="1" applyBorder="1" applyAlignment="1">
      <alignment horizontal="center" vertical="center" wrapText="1"/>
    </xf>
    <xf numFmtId="182" fontId="14" fillId="3" borderId="8" xfId="0" applyNumberFormat="1" applyFont="1" applyFill="1" applyBorder="1" applyAlignment="1">
      <alignment horizontal="center" vertical="center" wrapText="1"/>
    </xf>
    <xf numFmtId="182" fontId="14" fillId="3" borderId="9" xfId="0" applyNumberFormat="1" applyFont="1" applyFill="1" applyBorder="1" applyAlignment="1">
      <alignment horizontal="center" vertical="center" wrapText="1"/>
    </xf>
    <xf numFmtId="181" fontId="17" fillId="3" borderId="11" xfId="0" applyNumberFormat="1" applyFont="1" applyFill="1" applyBorder="1" applyAlignment="1">
      <alignment horizontal="left" vertical="center" wrapText="1"/>
    </xf>
    <xf numFmtId="181" fontId="17" fillId="3" borderId="8" xfId="0" applyNumberFormat="1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left" vertical="center" wrapText="1"/>
    </xf>
    <xf numFmtId="0" fontId="10" fillId="3" borderId="9" xfId="0" applyFont="1" applyFill="1" applyBorder="1" applyAlignment="1">
      <alignment horizontal="left" vertical="center" wrapText="1"/>
    </xf>
    <xf numFmtId="177" fontId="10" fillId="3" borderId="11" xfId="0" applyNumberFormat="1" applyFont="1" applyFill="1" applyBorder="1" applyAlignment="1">
      <alignment horizontal="left" vertical="center" wrapText="1"/>
    </xf>
    <xf numFmtId="177" fontId="10" fillId="3" borderId="8" xfId="0" applyNumberFormat="1" applyFont="1" applyFill="1" applyBorder="1" applyAlignment="1">
      <alignment horizontal="left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176" fontId="8" fillId="3" borderId="10" xfId="0" applyNumberFormat="1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1" fillId="3" borderId="10" xfId="0" applyFont="1" applyFill="1" applyBorder="1" applyAlignment="1">
      <alignment horizontal="center" vertical="center" wrapText="1"/>
    </xf>
    <xf numFmtId="13" fontId="21" fillId="3" borderId="10" xfId="0" applyNumberFormat="1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11"/>
  <sheetViews>
    <sheetView tabSelected="1" view="pageBreakPreview" topLeftCell="A203" zoomScale="115" zoomScaleNormal="130" workbookViewId="0">
      <selection activeCell="A208" sqref="A208:H208"/>
    </sheetView>
  </sheetViews>
  <sheetFormatPr defaultColWidth="9" defaultRowHeight="16.5" outlineLevelRow="1" x14ac:dyDescent="0.3"/>
  <cols>
    <col min="1" max="1" width="5.58203125" style="11" customWidth="1"/>
    <col min="2" max="2" width="15.58203125" style="11" customWidth="1"/>
    <col min="3" max="7" width="13.08203125" style="11" customWidth="1"/>
    <col min="8" max="8" width="75.58203125" style="11" customWidth="1"/>
    <col min="9" max="16384" width="9" style="11"/>
  </cols>
  <sheetData>
    <row r="1" spans="1:10" ht="43" x14ac:dyDescent="0.3">
      <c r="A1" s="73" t="s">
        <v>0</v>
      </c>
      <c r="B1" s="73"/>
      <c r="C1" s="73"/>
      <c r="D1" s="73"/>
      <c r="E1" s="73"/>
      <c r="F1" s="73"/>
      <c r="G1" s="73"/>
      <c r="H1" s="73"/>
    </row>
    <row r="2" spans="1:10" ht="25" customHeight="1" x14ac:dyDescent="0.3">
      <c r="A2" s="68" t="s">
        <v>1</v>
      </c>
      <c r="B2" s="69"/>
      <c r="C2" s="74"/>
      <c r="D2" s="74"/>
      <c r="E2" s="74"/>
      <c r="F2" s="74"/>
      <c r="G2" s="13" t="s">
        <v>2</v>
      </c>
      <c r="H2" s="14"/>
    </row>
    <row r="3" spans="1:10" ht="25" customHeight="1" x14ac:dyDescent="0.3">
      <c r="A3" s="68" t="s">
        <v>3</v>
      </c>
      <c r="B3" s="69"/>
      <c r="C3" s="74" t="s">
        <v>4</v>
      </c>
      <c r="D3" s="74"/>
      <c r="E3" s="74"/>
      <c r="F3" s="74"/>
      <c r="G3" s="13" t="s">
        <v>2</v>
      </c>
      <c r="H3" s="15">
        <v>18047067871</v>
      </c>
    </row>
    <row r="4" spans="1:10" ht="25" customHeight="1" x14ac:dyDescent="0.3">
      <c r="A4" s="68" t="s">
        <v>5</v>
      </c>
      <c r="B4" s="69"/>
      <c r="C4" s="70" t="s">
        <v>6</v>
      </c>
      <c r="D4" s="71"/>
      <c r="E4" s="71"/>
      <c r="F4" s="71"/>
      <c r="G4" s="68"/>
      <c r="H4" s="68"/>
    </row>
    <row r="5" spans="1:10" ht="25" customHeight="1" x14ac:dyDescent="0.3">
      <c r="A5" s="68" t="s">
        <v>7</v>
      </c>
      <c r="B5" s="69"/>
      <c r="C5" s="72">
        <v>193</v>
      </c>
      <c r="D5" s="72"/>
      <c r="E5" s="72"/>
      <c r="F5" s="72"/>
      <c r="G5" s="13" t="s">
        <v>8</v>
      </c>
      <c r="H5" s="15" t="s">
        <v>9</v>
      </c>
    </row>
    <row r="6" spans="1:10" ht="15" customHeight="1" x14ac:dyDescent="0.3">
      <c r="A6" s="65"/>
      <c r="B6" s="66"/>
      <c r="C6" s="66"/>
      <c r="D6" s="66"/>
      <c r="E6" s="66"/>
      <c r="F6" s="66"/>
      <c r="G6" s="66"/>
      <c r="H6" s="67"/>
    </row>
    <row r="7" spans="1:10" ht="15" customHeight="1" x14ac:dyDescent="0.3">
      <c r="A7" s="61" t="s">
        <v>10</v>
      </c>
      <c r="B7" s="61"/>
      <c r="C7" s="61"/>
      <c r="D7" s="61"/>
      <c r="E7" s="61"/>
      <c r="F7" s="62"/>
      <c r="G7" s="63">
        <f>SUM(F9:F24)</f>
        <v>9617</v>
      </c>
      <c r="H7" s="64"/>
    </row>
    <row r="8" spans="1:10" ht="15" customHeight="1" x14ac:dyDescent="0.3">
      <c r="A8" s="16" t="s">
        <v>11</v>
      </c>
      <c r="B8" s="17" t="s">
        <v>12</v>
      </c>
      <c r="C8" s="17" t="s">
        <v>13</v>
      </c>
      <c r="D8" s="17" t="s">
        <v>14</v>
      </c>
      <c r="E8" s="17" t="s">
        <v>15</v>
      </c>
      <c r="F8" s="17" t="s">
        <v>16</v>
      </c>
      <c r="G8" s="17" t="s">
        <v>17</v>
      </c>
      <c r="H8" s="18" t="s">
        <v>18</v>
      </c>
    </row>
    <row r="9" spans="1:10" customFormat="1" ht="45" customHeight="1" outlineLevel="1" x14ac:dyDescent="0.3">
      <c r="A9" s="19">
        <v>1</v>
      </c>
      <c r="B9" s="20" t="s">
        <v>19</v>
      </c>
      <c r="C9" s="21">
        <v>3</v>
      </c>
      <c r="D9" s="21" t="s">
        <v>20</v>
      </c>
      <c r="E9" s="20">
        <v>16</v>
      </c>
      <c r="F9" s="20">
        <f t="shared" ref="F9:F21" si="0">E9*C9</f>
        <v>48</v>
      </c>
      <c r="G9" s="22" t="s">
        <v>21</v>
      </c>
      <c r="H9" s="23" t="s">
        <v>22</v>
      </c>
      <c r="I9" s="24"/>
      <c r="J9" s="24"/>
    </row>
    <row r="10" spans="1:10" customFormat="1" ht="45" customHeight="1" outlineLevel="1" x14ac:dyDescent="0.3">
      <c r="A10" s="19">
        <v>2</v>
      </c>
      <c r="B10" s="20" t="s">
        <v>23</v>
      </c>
      <c r="C10" s="21">
        <v>20</v>
      </c>
      <c r="D10" s="21" t="s">
        <v>20</v>
      </c>
      <c r="E10" s="20">
        <f>E9</f>
        <v>16</v>
      </c>
      <c r="F10" s="20">
        <f t="shared" si="0"/>
        <v>320</v>
      </c>
      <c r="G10" s="22" t="s">
        <v>24</v>
      </c>
      <c r="H10" s="23" t="s">
        <v>25</v>
      </c>
      <c r="I10" s="24"/>
      <c r="J10" s="24"/>
    </row>
    <row r="11" spans="1:10" customFormat="1" ht="45" customHeight="1" outlineLevel="1" x14ac:dyDescent="0.3">
      <c r="A11" s="19">
        <v>3</v>
      </c>
      <c r="B11" s="20" t="s">
        <v>26</v>
      </c>
      <c r="C11" s="21">
        <v>5</v>
      </c>
      <c r="D11" s="21" t="s">
        <v>20</v>
      </c>
      <c r="E11" s="20">
        <f>E9</f>
        <v>16</v>
      </c>
      <c r="F11" s="20">
        <f t="shared" si="0"/>
        <v>80</v>
      </c>
      <c r="G11" s="22" t="s">
        <v>27</v>
      </c>
      <c r="H11" s="23" t="s">
        <v>28</v>
      </c>
      <c r="I11" s="24"/>
      <c r="J11" s="24"/>
    </row>
    <row r="12" spans="1:10" customFormat="1" ht="60" customHeight="1" outlineLevel="1" x14ac:dyDescent="0.3">
      <c r="A12" s="19">
        <v>4</v>
      </c>
      <c r="B12" s="20" t="s">
        <v>29</v>
      </c>
      <c r="C12" s="21">
        <v>75</v>
      </c>
      <c r="D12" s="21" t="s">
        <v>20</v>
      </c>
      <c r="E12" s="20">
        <v>6</v>
      </c>
      <c r="F12" s="20">
        <f t="shared" ref="F12" si="1">E12*C12</f>
        <v>450</v>
      </c>
      <c r="G12" s="22" t="s">
        <v>30</v>
      </c>
      <c r="H12" s="23" t="s">
        <v>31</v>
      </c>
      <c r="I12" s="24"/>
      <c r="J12" s="24"/>
    </row>
    <row r="13" spans="1:10" customFormat="1" ht="45" customHeight="1" outlineLevel="1" x14ac:dyDescent="0.3">
      <c r="A13" s="19">
        <v>5</v>
      </c>
      <c r="B13" s="20" t="s">
        <v>32</v>
      </c>
      <c r="C13" s="21">
        <v>15</v>
      </c>
      <c r="D13" s="21" t="s">
        <v>20</v>
      </c>
      <c r="E13" s="20">
        <f>E9</f>
        <v>16</v>
      </c>
      <c r="F13" s="20">
        <f t="shared" si="0"/>
        <v>240</v>
      </c>
      <c r="G13" s="22" t="s">
        <v>33</v>
      </c>
      <c r="H13" s="23" t="s">
        <v>34</v>
      </c>
      <c r="I13" s="24"/>
      <c r="J13" s="24"/>
    </row>
    <row r="14" spans="1:10" customFormat="1" ht="45" customHeight="1" outlineLevel="1" x14ac:dyDescent="0.3">
      <c r="A14" s="19">
        <v>6</v>
      </c>
      <c r="B14" s="20" t="s">
        <v>35</v>
      </c>
      <c r="C14" s="21">
        <v>15</v>
      </c>
      <c r="D14" s="21" t="s">
        <v>20</v>
      </c>
      <c r="E14" s="20">
        <f>E9</f>
        <v>16</v>
      </c>
      <c r="F14" s="20">
        <f t="shared" si="0"/>
        <v>240</v>
      </c>
      <c r="G14" s="22" t="s">
        <v>33</v>
      </c>
      <c r="H14" s="23" t="s">
        <v>36</v>
      </c>
      <c r="I14" s="24"/>
      <c r="J14" s="24"/>
    </row>
    <row r="15" spans="1:10" customFormat="1" ht="45" customHeight="1" outlineLevel="1" x14ac:dyDescent="0.3">
      <c r="A15" s="19">
        <v>7</v>
      </c>
      <c r="B15" s="20" t="s">
        <v>37</v>
      </c>
      <c r="C15" s="21">
        <v>3</v>
      </c>
      <c r="D15" s="21" t="s">
        <v>20</v>
      </c>
      <c r="E15" s="20">
        <v>26</v>
      </c>
      <c r="F15" s="20">
        <f t="shared" si="0"/>
        <v>78</v>
      </c>
      <c r="G15" s="22" t="s">
        <v>21</v>
      </c>
      <c r="H15" s="23" t="s">
        <v>38</v>
      </c>
      <c r="I15" s="24"/>
      <c r="J15" s="24"/>
    </row>
    <row r="16" spans="1:10" customFormat="1" ht="60" customHeight="1" outlineLevel="1" x14ac:dyDescent="0.3">
      <c r="A16" s="19">
        <v>8</v>
      </c>
      <c r="B16" s="20" t="s">
        <v>39</v>
      </c>
      <c r="C16" s="21">
        <v>75</v>
      </c>
      <c r="D16" s="21" t="s">
        <v>20</v>
      </c>
      <c r="E16" s="20">
        <v>26</v>
      </c>
      <c r="F16" s="20">
        <f t="shared" si="0"/>
        <v>1950</v>
      </c>
      <c r="G16" s="22" t="s">
        <v>30</v>
      </c>
      <c r="H16" s="23" t="s">
        <v>31</v>
      </c>
      <c r="I16" s="24"/>
      <c r="J16" s="24"/>
    </row>
    <row r="17" spans="1:10" customFormat="1" ht="45" customHeight="1" outlineLevel="1" x14ac:dyDescent="0.3">
      <c r="A17" s="19">
        <v>9</v>
      </c>
      <c r="B17" s="20" t="s">
        <v>40</v>
      </c>
      <c r="C17" s="21">
        <v>20</v>
      </c>
      <c r="D17" s="21" t="s">
        <v>20</v>
      </c>
      <c r="E17" s="20">
        <f>E15</f>
        <v>26</v>
      </c>
      <c r="F17" s="20">
        <f t="shared" si="0"/>
        <v>520</v>
      </c>
      <c r="G17" s="22" t="s">
        <v>24</v>
      </c>
      <c r="H17" s="23" t="s">
        <v>25</v>
      </c>
      <c r="I17" s="24"/>
      <c r="J17" s="24"/>
    </row>
    <row r="18" spans="1:10" customFormat="1" ht="45" customHeight="1" outlineLevel="1" x14ac:dyDescent="0.3">
      <c r="A18" s="19">
        <v>10</v>
      </c>
      <c r="B18" s="20" t="s">
        <v>41</v>
      </c>
      <c r="C18" s="21">
        <v>5</v>
      </c>
      <c r="D18" s="21" t="s">
        <v>20</v>
      </c>
      <c r="E18" s="20">
        <f>E17</f>
        <v>26</v>
      </c>
      <c r="F18" s="20">
        <f t="shared" si="0"/>
        <v>130</v>
      </c>
      <c r="G18" s="22" t="s">
        <v>27</v>
      </c>
      <c r="H18" s="23" t="s">
        <v>28</v>
      </c>
      <c r="I18" s="24"/>
      <c r="J18" s="24"/>
    </row>
    <row r="19" spans="1:10" customFormat="1" ht="45" customHeight="1" outlineLevel="1" x14ac:dyDescent="0.3">
      <c r="A19" s="19">
        <v>11</v>
      </c>
      <c r="B19" s="20" t="s">
        <v>42</v>
      </c>
      <c r="C19" s="21">
        <v>15</v>
      </c>
      <c r="D19" s="21" t="s">
        <v>20</v>
      </c>
      <c r="E19" s="20">
        <f>E15</f>
        <v>26</v>
      </c>
      <c r="F19" s="20">
        <f t="shared" si="0"/>
        <v>390</v>
      </c>
      <c r="G19" s="22" t="s">
        <v>33</v>
      </c>
      <c r="H19" s="23" t="s">
        <v>34</v>
      </c>
      <c r="I19" s="24"/>
      <c r="J19" s="24"/>
    </row>
    <row r="20" spans="1:10" customFormat="1" ht="45" customHeight="1" outlineLevel="1" x14ac:dyDescent="0.3">
      <c r="A20" s="19">
        <v>12</v>
      </c>
      <c r="B20" s="20" t="s">
        <v>43</v>
      </c>
      <c r="C20" s="21">
        <v>15</v>
      </c>
      <c r="D20" s="21" t="s">
        <v>20</v>
      </c>
      <c r="E20" s="20">
        <f>E15</f>
        <v>26</v>
      </c>
      <c r="F20" s="20">
        <f t="shared" si="0"/>
        <v>390</v>
      </c>
      <c r="G20" s="22" t="s">
        <v>33</v>
      </c>
      <c r="H20" s="23" t="s">
        <v>36</v>
      </c>
      <c r="I20" s="24"/>
      <c r="J20" s="24"/>
    </row>
    <row r="21" spans="1:10" customFormat="1" ht="60" customHeight="1" outlineLevel="1" x14ac:dyDescent="0.3">
      <c r="A21" s="19">
        <v>13</v>
      </c>
      <c r="B21" s="20" t="s">
        <v>44</v>
      </c>
      <c r="C21" s="21">
        <v>150</v>
      </c>
      <c r="D21" s="21" t="s">
        <v>20</v>
      </c>
      <c r="E21" s="20">
        <v>6.2</v>
      </c>
      <c r="F21" s="20">
        <f t="shared" si="0"/>
        <v>930</v>
      </c>
      <c r="G21" s="22" t="s">
        <v>45</v>
      </c>
      <c r="H21" s="23" t="s">
        <v>46</v>
      </c>
    </row>
    <row r="22" spans="1:10" customFormat="1" ht="45" customHeight="1" outlineLevel="1" x14ac:dyDescent="0.3">
      <c r="A22" s="19">
        <v>14</v>
      </c>
      <c r="B22" s="20" t="s">
        <v>47</v>
      </c>
      <c r="C22" s="21">
        <v>195</v>
      </c>
      <c r="D22" s="21" t="s">
        <v>20</v>
      </c>
      <c r="E22" s="20">
        <v>12</v>
      </c>
      <c r="F22" s="20">
        <f t="shared" ref="F22" si="2">E22*C22</f>
        <v>2340</v>
      </c>
      <c r="G22" s="22" t="s">
        <v>48</v>
      </c>
      <c r="H22" s="23" t="s">
        <v>49</v>
      </c>
    </row>
    <row r="23" spans="1:10" customFormat="1" ht="45" customHeight="1" outlineLevel="1" x14ac:dyDescent="0.3">
      <c r="A23" s="19">
        <v>15</v>
      </c>
      <c r="B23" s="20" t="s">
        <v>50</v>
      </c>
      <c r="C23" s="21">
        <v>65</v>
      </c>
      <c r="D23" s="21" t="s">
        <v>51</v>
      </c>
      <c r="E23" s="20">
        <v>15</v>
      </c>
      <c r="F23" s="20">
        <f t="shared" ref="F23" si="3">E23*C23</f>
        <v>975</v>
      </c>
      <c r="G23" s="22" t="s">
        <v>52</v>
      </c>
      <c r="H23" s="23" t="s">
        <v>53</v>
      </c>
    </row>
    <row r="24" spans="1:10" customFormat="1" ht="45" customHeight="1" outlineLevel="1" x14ac:dyDescent="0.3">
      <c r="A24" s="19">
        <v>16</v>
      </c>
      <c r="B24" s="20" t="s">
        <v>54</v>
      </c>
      <c r="C24" s="21">
        <v>40</v>
      </c>
      <c r="D24" s="21" t="s">
        <v>51</v>
      </c>
      <c r="E24" s="20">
        <v>13.4</v>
      </c>
      <c r="F24" s="20">
        <f t="shared" ref="F24" si="4">E24*C24</f>
        <v>536</v>
      </c>
      <c r="G24" s="22" t="s">
        <v>52</v>
      </c>
      <c r="H24" s="23" t="s">
        <v>53</v>
      </c>
    </row>
    <row r="25" spans="1:10" ht="16.5" customHeight="1" x14ac:dyDescent="0.3">
      <c r="A25" s="60"/>
      <c r="B25" s="60"/>
      <c r="C25" s="60"/>
      <c r="D25" s="60"/>
      <c r="E25" s="60"/>
      <c r="F25" s="60"/>
      <c r="G25" s="60"/>
      <c r="H25" s="60"/>
    </row>
    <row r="26" spans="1:10" ht="15" customHeight="1" x14ac:dyDescent="0.3">
      <c r="A26" s="61" t="s">
        <v>55</v>
      </c>
      <c r="B26" s="61"/>
      <c r="C26" s="61"/>
      <c r="D26" s="61"/>
      <c r="E26" s="61"/>
      <c r="F26" s="62"/>
      <c r="G26" s="63">
        <f>SUM(F28:F53)</f>
        <v>47647.5</v>
      </c>
      <c r="H26" s="64"/>
    </row>
    <row r="27" spans="1:10" ht="15" customHeight="1" x14ac:dyDescent="0.3">
      <c r="A27" s="16" t="s">
        <v>11</v>
      </c>
      <c r="B27" s="17" t="s">
        <v>12</v>
      </c>
      <c r="C27" s="17" t="s">
        <v>13</v>
      </c>
      <c r="D27" s="17" t="s">
        <v>14</v>
      </c>
      <c r="E27" s="17" t="s">
        <v>15</v>
      </c>
      <c r="F27" s="17" t="s">
        <v>16</v>
      </c>
      <c r="G27" s="17" t="s">
        <v>17</v>
      </c>
      <c r="H27" s="18" t="s">
        <v>18</v>
      </c>
    </row>
    <row r="28" spans="1:10" customFormat="1" ht="45" customHeight="1" outlineLevel="1" x14ac:dyDescent="0.3">
      <c r="A28" s="19">
        <v>1</v>
      </c>
      <c r="B28" s="20" t="s">
        <v>19</v>
      </c>
      <c r="C28" s="21">
        <v>3</v>
      </c>
      <c r="D28" s="21" t="s">
        <v>20</v>
      </c>
      <c r="E28" s="20">
        <v>55</v>
      </c>
      <c r="F28" s="20">
        <f t="shared" ref="F28:F37" si="5">E28*C28</f>
        <v>165</v>
      </c>
      <c r="G28" s="22" t="s">
        <v>21</v>
      </c>
      <c r="H28" s="23" t="s">
        <v>22</v>
      </c>
      <c r="I28" s="24"/>
      <c r="J28" s="24"/>
    </row>
    <row r="29" spans="1:10" customFormat="1" ht="45" customHeight="1" outlineLevel="1" x14ac:dyDescent="0.3">
      <c r="A29" s="19">
        <v>2</v>
      </c>
      <c r="B29" s="20" t="s">
        <v>23</v>
      </c>
      <c r="C29" s="21">
        <v>20</v>
      </c>
      <c r="D29" s="21" t="s">
        <v>20</v>
      </c>
      <c r="E29" s="20">
        <f>E28</f>
        <v>55</v>
      </c>
      <c r="F29" s="20">
        <f t="shared" si="5"/>
        <v>1100</v>
      </c>
      <c r="G29" s="22" t="s">
        <v>24</v>
      </c>
      <c r="H29" s="23" t="s">
        <v>25</v>
      </c>
      <c r="I29" s="24"/>
      <c r="J29" s="24"/>
    </row>
    <row r="30" spans="1:10" customFormat="1" ht="45" customHeight="1" outlineLevel="1" x14ac:dyDescent="0.3">
      <c r="A30" s="19">
        <v>3</v>
      </c>
      <c r="B30" s="20" t="s">
        <v>26</v>
      </c>
      <c r="C30" s="21">
        <v>5</v>
      </c>
      <c r="D30" s="21" t="s">
        <v>20</v>
      </c>
      <c r="E30" s="20">
        <f>E28</f>
        <v>55</v>
      </c>
      <c r="F30" s="20">
        <f t="shared" si="5"/>
        <v>275</v>
      </c>
      <c r="G30" s="22" t="s">
        <v>27</v>
      </c>
      <c r="H30" s="23" t="s">
        <v>28</v>
      </c>
      <c r="I30" s="24"/>
      <c r="J30" s="24"/>
    </row>
    <row r="31" spans="1:10" customFormat="1" ht="60" customHeight="1" outlineLevel="1" x14ac:dyDescent="0.3">
      <c r="A31" s="19">
        <v>4</v>
      </c>
      <c r="B31" s="20" t="s">
        <v>29</v>
      </c>
      <c r="C31" s="21">
        <v>75</v>
      </c>
      <c r="D31" s="21" t="s">
        <v>20</v>
      </c>
      <c r="E31" s="20">
        <v>48</v>
      </c>
      <c r="F31" s="20">
        <f t="shared" ref="F31" si="6">E31*C31</f>
        <v>3600</v>
      </c>
      <c r="G31" s="22" t="s">
        <v>30</v>
      </c>
      <c r="H31" s="23" t="s">
        <v>56</v>
      </c>
      <c r="I31" s="24"/>
      <c r="J31" s="24"/>
    </row>
    <row r="32" spans="1:10" customFormat="1" ht="45" customHeight="1" outlineLevel="1" x14ac:dyDescent="0.3">
      <c r="A32" s="19">
        <v>5</v>
      </c>
      <c r="B32" s="20" t="s">
        <v>32</v>
      </c>
      <c r="C32" s="21">
        <v>15</v>
      </c>
      <c r="D32" s="21" t="s">
        <v>20</v>
      </c>
      <c r="E32" s="20">
        <f>E28</f>
        <v>55</v>
      </c>
      <c r="F32" s="20">
        <f t="shared" si="5"/>
        <v>825</v>
      </c>
      <c r="G32" s="22" t="s">
        <v>33</v>
      </c>
      <c r="H32" s="23" t="s">
        <v>34</v>
      </c>
      <c r="I32" s="24"/>
      <c r="J32" s="24"/>
    </row>
    <row r="33" spans="1:10" customFormat="1" ht="45" customHeight="1" outlineLevel="1" x14ac:dyDescent="0.3">
      <c r="A33" s="19">
        <v>6</v>
      </c>
      <c r="B33" s="20" t="s">
        <v>35</v>
      </c>
      <c r="C33" s="21">
        <v>15</v>
      </c>
      <c r="D33" s="21" t="s">
        <v>20</v>
      </c>
      <c r="E33" s="20">
        <f>E28</f>
        <v>55</v>
      </c>
      <c r="F33" s="20">
        <f t="shared" si="5"/>
        <v>825</v>
      </c>
      <c r="G33" s="22" t="s">
        <v>33</v>
      </c>
      <c r="H33" s="23" t="s">
        <v>36</v>
      </c>
      <c r="I33" s="24"/>
      <c r="J33" s="24"/>
    </row>
    <row r="34" spans="1:10" customFormat="1" ht="45" customHeight="1" outlineLevel="1" x14ac:dyDescent="0.3">
      <c r="A34" s="19">
        <v>7</v>
      </c>
      <c r="B34" s="20" t="s">
        <v>37</v>
      </c>
      <c r="C34" s="21">
        <v>3</v>
      </c>
      <c r="D34" s="21" t="s">
        <v>20</v>
      </c>
      <c r="E34" s="20">
        <v>85</v>
      </c>
      <c r="F34" s="20">
        <f t="shared" si="5"/>
        <v>255</v>
      </c>
      <c r="G34" s="22" t="s">
        <v>21</v>
      </c>
      <c r="H34" s="23" t="s">
        <v>38</v>
      </c>
      <c r="I34" s="24"/>
      <c r="J34" s="24"/>
    </row>
    <row r="35" spans="1:10" customFormat="1" ht="60" customHeight="1" outlineLevel="1" x14ac:dyDescent="0.3">
      <c r="A35" s="19">
        <v>8</v>
      </c>
      <c r="B35" s="20" t="s">
        <v>39</v>
      </c>
      <c r="C35" s="21">
        <v>75</v>
      </c>
      <c r="D35" s="21" t="s">
        <v>20</v>
      </c>
      <c r="E35" s="20">
        <v>85</v>
      </c>
      <c r="F35" s="20">
        <f t="shared" si="5"/>
        <v>6375</v>
      </c>
      <c r="G35" s="22" t="s">
        <v>30</v>
      </c>
      <c r="H35" s="23" t="s">
        <v>57</v>
      </c>
      <c r="I35" s="24"/>
      <c r="J35" s="24"/>
    </row>
    <row r="36" spans="1:10" customFormat="1" ht="45" customHeight="1" outlineLevel="1" x14ac:dyDescent="0.3">
      <c r="A36" s="19">
        <v>9</v>
      </c>
      <c r="B36" s="20" t="s">
        <v>40</v>
      </c>
      <c r="C36" s="21">
        <v>20</v>
      </c>
      <c r="D36" s="21" t="s">
        <v>20</v>
      </c>
      <c r="E36" s="20">
        <f>E34</f>
        <v>85</v>
      </c>
      <c r="F36" s="20">
        <f t="shared" si="5"/>
        <v>1700</v>
      </c>
      <c r="G36" s="22" t="s">
        <v>24</v>
      </c>
      <c r="H36" s="23" t="s">
        <v>25</v>
      </c>
      <c r="I36" s="24"/>
      <c r="J36" s="24"/>
    </row>
    <row r="37" spans="1:10" customFormat="1" ht="45" customHeight="1" outlineLevel="1" x14ac:dyDescent="0.3">
      <c r="A37" s="19">
        <v>10</v>
      </c>
      <c r="B37" s="20" t="s">
        <v>41</v>
      </c>
      <c r="C37" s="21">
        <v>5</v>
      </c>
      <c r="D37" s="21" t="s">
        <v>20</v>
      </c>
      <c r="E37" s="20">
        <f>E36</f>
        <v>85</v>
      </c>
      <c r="F37" s="20">
        <f t="shared" si="5"/>
        <v>425</v>
      </c>
      <c r="G37" s="22" t="s">
        <v>27</v>
      </c>
      <c r="H37" s="23" t="s">
        <v>28</v>
      </c>
      <c r="I37" s="24"/>
      <c r="J37" s="24"/>
    </row>
    <row r="38" spans="1:10" customFormat="1" ht="45" customHeight="1" outlineLevel="1" x14ac:dyDescent="0.3">
      <c r="A38" s="19">
        <v>11</v>
      </c>
      <c r="B38" s="20" t="s">
        <v>32</v>
      </c>
      <c r="C38" s="21">
        <v>15</v>
      </c>
      <c r="D38" s="21" t="s">
        <v>20</v>
      </c>
      <c r="E38" s="20">
        <v>10</v>
      </c>
      <c r="F38" s="20">
        <f t="shared" ref="F38:F41" si="7">E38*C38</f>
        <v>150</v>
      </c>
      <c r="G38" s="22" t="s">
        <v>33</v>
      </c>
      <c r="H38" s="23" t="s">
        <v>34</v>
      </c>
      <c r="I38" s="24"/>
      <c r="J38" s="24"/>
    </row>
    <row r="39" spans="1:10" customFormat="1" ht="45" customHeight="1" outlineLevel="1" x14ac:dyDescent="0.3">
      <c r="A39" s="19">
        <v>12</v>
      </c>
      <c r="B39" s="20" t="s">
        <v>35</v>
      </c>
      <c r="C39" s="21">
        <v>15</v>
      </c>
      <c r="D39" s="21" t="s">
        <v>20</v>
      </c>
      <c r="E39" s="20">
        <v>10</v>
      </c>
      <c r="F39" s="20">
        <f t="shared" si="7"/>
        <v>150</v>
      </c>
      <c r="G39" s="22" t="s">
        <v>33</v>
      </c>
      <c r="H39" s="23" t="s">
        <v>36</v>
      </c>
      <c r="I39" s="24"/>
      <c r="J39" s="24"/>
    </row>
    <row r="40" spans="1:10" customFormat="1" ht="45" customHeight="1" outlineLevel="1" x14ac:dyDescent="0.3">
      <c r="A40" s="19">
        <v>13</v>
      </c>
      <c r="B40" s="20" t="s">
        <v>58</v>
      </c>
      <c r="C40" s="21">
        <v>120</v>
      </c>
      <c r="D40" s="21" t="s">
        <v>20</v>
      </c>
      <c r="E40" s="20">
        <v>60</v>
      </c>
      <c r="F40" s="20">
        <f t="shared" si="7"/>
        <v>7200</v>
      </c>
      <c r="G40" s="22"/>
      <c r="H40" s="23" t="s">
        <v>59</v>
      </c>
      <c r="I40" s="24"/>
      <c r="J40" s="24"/>
    </row>
    <row r="41" spans="1:10" customFormat="1" ht="60" customHeight="1" outlineLevel="1" x14ac:dyDescent="0.3">
      <c r="A41" s="19">
        <v>14</v>
      </c>
      <c r="B41" s="20" t="s">
        <v>44</v>
      </c>
      <c r="C41" s="21">
        <v>150</v>
      </c>
      <c r="D41" s="21" t="s">
        <v>20</v>
      </c>
      <c r="E41" s="20">
        <v>48</v>
      </c>
      <c r="F41" s="20">
        <f t="shared" si="7"/>
        <v>7200</v>
      </c>
      <c r="G41" s="22" t="s">
        <v>45</v>
      </c>
      <c r="H41" s="23" t="s">
        <v>46</v>
      </c>
    </row>
    <row r="42" spans="1:10" customFormat="1" ht="45" customHeight="1" outlineLevel="1" x14ac:dyDescent="0.3">
      <c r="A42" s="19">
        <v>15</v>
      </c>
      <c r="B42" s="20" t="s">
        <v>47</v>
      </c>
      <c r="C42" s="21">
        <v>195</v>
      </c>
      <c r="D42" s="21" t="s">
        <v>20</v>
      </c>
      <c r="E42" s="20">
        <v>24</v>
      </c>
      <c r="F42" s="20">
        <f t="shared" ref="F42:F48" si="8">E42*C42</f>
        <v>4680</v>
      </c>
      <c r="G42" s="22" t="s">
        <v>48</v>
      </c>
      <c r="H42" s="23" t="s">
        <v>49</v>
      </c>
    </row>
    <row r="43" spans="1:10" customFormat="1" ht="45" customHeight="1" outlineLevel="1" x14ac:dyDescent="0.3">
      <c r="A43" s="19">
        <v>16</v>
      </c>
      <c r="B43" s="20" t="s">
        <v>60</v>
      </c>
      <c r="C43" s="21">
        <v>105</v>
      </c>
      <c r="D43" s="21" t="s">
        <v>51</v>
      </c>
      <c r="E43" s="20">
        <v>5.2</v>
      </c>
      <c r="F43" s="20">
        <f t="shared" si="8"/>
        <v>546</v>
      </c>
      <c r="G43" s="22" t="s">
        <v>48</v>
      </c>
      <c r="H43" s="23" t="s">
        <v>61</v>
      </c>
    </row>
    <row r="44" spans="1:10" customFormat="1" ht="45" customHeight="1" outlineLevel="1" x14ac:dyDescent="0.3">
      <c r="A44" s="19">
        <v>17</v>
      </c>
      <c r="B44" s="20" t="s">
        <v>62</v>
      </c>
      <c r="C44" s="21">
        <v>70</v>
      </c>
      <c r="D44" s="21" t="s">
        <v>51</v>
      </c>
      <c r="E44" s="20">
        <v>22</v>
      </c>
      <c r="F44" s="20">
        <f t="shared" si="8"/>
        <v>1540</v>
      </c>
      <c r="G44" s="22" t="s">
        <v>52</v>
      </c>
      <c r="H44" s="23" t="s">
        <v>53</v>
      </c>
    </row>
    <row r="45" spans="1:10" customFormat="1" ht="45" customHeight="1" outlineLevel="1" x14ac:dyDescent="0.3">
      <c r="A45" s="19">
        <v>18</v>
      </c>
      <c r="B45" s="20" t="s">
        <v>50</v>
      </c>
      <c r="C45" s="21">
        <v>65</v>
      </c>
      <c r="D45" s="21" t="s">
        <v>51</v>
      </c>
      <c r="E45" s="20">
        <v>5.8</v>
      </c>
      <c r="F45" s="20">
        <f t="shared" ref="F45" si="9">E45*C45</f>
        <v>377</v>
      </c>
      <c r="G45" s="22" t="s">
        <v>52</v>
      </c>
      <c r="H45" s="23" t="s">
        <v>53</v>
      </c>
    </row>
    <row r="46" spans="1:10" customFormat="1" ht="45" customHeight="1" outlineLevel="1" x14ac:dyDescent="0.3">
      <c r="A46" s="19">
        <v>19</v>
      </c>
      <c r="B46" s="20" t="s">
        <v>54</v>
      </c>
      <c r="C46" s="21">
        <v>40</v>
      </c>
      <c r="D46" s="21" t="s">
        <v>51</v>
      </c>
      <c r="E46" s="20">
        <v>5.8</v>
      </c>
      <c r="F46" s="20">
        <f t="shared" ref="F46:F47" si="10">E46*C46</f>
        <v>232</v>
      </c>
      <c r="G46" s="22" t="s">
        <v>52</v>
      </c>
      <c r="H46" s="23" t="s">
        <v>53</v>
      </c>
    </row>
    <row r="47" spans="1:10" customFormat="1" ht="45" customHeight="1" outlineLevel="1" x14ac:dyDescent="0.3">
      <c r="A47" s="19">
        <v>20</v>
      </c>
      <c r="B47" s="20" t="s">
        <v>63</v>
      </c>
      <c r="C47" s="21">
        <v>100</v>
      </c>
      <c r="D47" s="21" t="s">
        <v>64</v>
      </c>
      <c r="E47" s="20">
        <v>4</v>
      </c>
      <c r="F47" s="20">
        <f t="shared" si="10"/>
        <v>400</v>
      </c>
      <c r="G47" s="22" t="s">
        <v>52</v>
      </c>
      <c r="H47" s="23" t="s">
        <v>53</v>
      </c>
    </row>
    <row r="48" spans="1:10" customFormat="1" ht="45" customHeight="1" outlineLevel="1" x14ac:dyDescent="0.3">
      <c r="A48" s="19">
        <v>21</v>
      </c>
      <c r="B48" s="20" t="s">
        <v>65</v>
      </c>
      <c r="C48" s="21">
        <v>35</v>
      </c>
      <c r="D48" s="21" t="s">
        <v>51</v>
      </c>
      <c r="E48" s="20">
        <v>19.5</v>
      </c>
      <c r="F48" s="20">
        <f t="shared" si="8"/>
        <v>682.5</v>
      </c>
      <c r="G48" s="22" t="s">
        <v>52</v>
      </c>
      <c r="H48" s="23" t="s">
        <v>53</v>
      </c>
    </row>
    <row r="49" spans="1:10" customFormat="1" ht="45" customHeight="1" outlineLevel="1" x14ac:dyDescent="0.3">
      <c r="A49" s="19">
        <v>22</v>
      </c>
      <c r="B49" s="20" t="s">
        <v>66</v>
      </c>
      <c r="C49" s="21">
        <v>3700</v>
      </c>
      <c r="D49" s="21" t="s">
        <v>64</v>
      </c>
      <c r="E49" s="20">
        <v>1</v>
      </c>
      <c r="F49" s="20">
        <f t="shared" ref="F49" si="11">E49*C49</f>
        <v>3700</v>
      </c>
      <c r="G49" s="22" t="s">
        <v>52</v>
      </c>
      <c r="H49" s="23" t="s">
        <v>53</v>
      </c>
    </row>
    <row r="50" spans="1:10" customFormat="1" ht="45" customHeight="1" outlineLevel="1" x14ac:dyDescent="0.3">
      <c r="A50" s="19">
        <v>23</v>
      </c>
      <c r="B50" s="20" t="s">
        <v>67</v>
      </c>
      <c r="C50" s="21">
        <v>40</v>
      </c>
      <c r="D50" s="21" t="s">
        <v>51</v>
      </c>
      <c r="E50" s="20">
        <v>20</v>
      </c>
      <c r="F50" s="20">
        <f t="shared" ref="F50:F53" si="12">E50*C50</f>
        <v>800</v>
      </c>
      <c r="G50" s="22" t="s">
        <v>52</v>
      </c>
      <c r="H50" s="23" t="s">
        <v>53</v>
      </c>
    </row>
    <row r="51" spans="1:10" customFormat="1" ht="45" customHeight="1" outlineLevel="1" x14ac:dyDescent="0.3">
      <c r="A51" s="19">
        <v>24</v>
      </c>
      <c r="B51" s="20" t="s">
        <v>68</v>
      </c>
      <c r="C51" s="21">
        <v>100</v>
      </c>
      <c r="D51" s="21" t="s">
        <v>64</v>
      </c>
      <c r="E51" s="20">
        <v>20</v>
      </c>
      <c r="F51" s="20">
        <f t="shared" si="12"/>
        <v>2000</v>
      </c>
      <c r="G51" s="22" t="s">
        <v>52</v>
      </c>
      <c r="H51" s="23" t="s">
        <v>53</v>
      </c>
    </row>
    <row r="52" spans="1:10" customFormat="1" ht="45" customHeight="1" outlineLevel="1" x14ac:dyDescent="0.3">
      <c r="A52" s="19">
        <v>25</v>
      </c>
      <c r="B52" s="20" t="s">
        <v>69</v>
      </c>
      <c r="C52" s="21">
        <v>35</v>
      </c>
      <c r="D52" s="21" t="s">
        <v>51</v>
      </c>
      <c r="E52" s="20">
        <v>18</v>
      </c>
      <c r="F52" s="20">
        <f t="shared" si="12"/>
        <v>630</v>
      </c>
      <c r="G52" s="22" t="s">
        <v>52</v>
      </c>
      <c r="H52" s="23" t="s">
        <v>53</v>
      </c>
    </row>
    <row r="53" spans="1:10" customFormat="1" ht="45" customHeight="1" outlineLevel="1" x14ac:dyDescent="0.3">
      <c r="A53" s="19">
        <v>26</v>
      </c>
      <c r="B53" s="20" t="s">
        <v>70</v>
      </c>
      <c r="C53" s="21">
        <v>330</v>
      </c>
      <c r="D53" s="21" t="s">
        <v>20</v>
      </c>
      <c r="E53" s="20">
        <v>5.5</v>
      </c>
      <c r="F53" s="20">
        <f t="shared" si="12"/>
        <v>1815</v>
      </c>
      <c r="G53" s="22" t="s">
        <v>48</v>
      </c>
      <c r="H53" s="23" t="s">
        <v>71</v>
      </c>
    </row>
    <row r="54" spans="1:10" ht="16.5" customHeight="1" x14ac:dyDescent="0.3">
      <c r="A54" s="60"/>
      <c r="B54" s="60"/>
      <c r="C54" s="60"/>
      <c r="D54" s="60"/>
      <c r="E54" s="60"/>
      <c r="F54" s="60"/>
      <c r="G54" s="60"/>
      <c r="H54" s="60"/>
    </row>
    <row r="55" spans="1:10" ht="15" customHeight="1" x14ac:dyDescent="0.3">
      <c r="A55" s="61" t="s">
        <v>72</v>
      </c>
      <c r="B55" s="61"/>
      <c r="C55" s="61"/>
      <c r="D55" s="61"/>
      <c r="E55" s="61"/>
      <c r="F55" s="62"/>
      <c r="G55" s="63">
        <f>SUM(F57:F78)</f>
        <v>27791</v>
      </c>
      <c r="H55" s="64"/>
    </row>
    <row r="56" spans="1:10" ht="15" customHeight="1" x14ac:dyDescent="0.3">
      <c r="A56" s="16" t="s">
        <v>11</v>
      </c>
      <c r="B56" s="17" t="s">
        <v>12</v>
      </c>
      <c r="C56" s="17" t="s">
        <v>13</v>
      </c>
      <c r="D56" s="17" t="s">
        <v>14</v>
      </c>
      <c r="E56" s="17" t="s">
        <v>15</v>
      </c>
      <c r="F56" s="17" t="s">
        <v>16</v>
      </c>
      <c r="G56" s="17" t="s">
        <v>17</v>
      </c>
      <c r="H56" s="18" t="s">
        <v>18</v>
      </c>
    </row>
    <row r="57" spans="1:10" customFormat="1" ht="45" customHeight="1" outlineLevel="1" x14ac:dyDescent="0.3">
      <c r="A57" s="19">
        <v>1</v>
      </c>
      <c r="B57" s="20" t="s">
        <v>19</v>
      </c>
      <c r="C57" s="21">
        <v>3</v>
      </c>
      <c r="D57" s="21" t="s">
        <v>20</v>
      </c>
      <c r="E57" s="20">
        <v>28</v>
      </c>
      <c r="F57" s="20">
        <f t="shared" ref="F57:F67" si="13">E57*C57</f>
        <v>84</v>
      </c>
      <c r="G57" s="22" t="s">
        <v>21</v>
      </c>
      <c r="H57" s="23" t="s">
        <v>22</v>
      </c>
      <c r="I57" s="24"/>
      <c r="J57" s="24"/>
    </row>
    <row r="58" spans="1:10" customFormat="1" ht="45" customHeight="1" outlineLevel="1" x14ac:dyDescent="0.3">
      <c r="A58" s="19">
        <v>2</v>
      </c>
      <c r="B58" s="20" t="s">
        <v>23</v>
      </c>
      <c r="C58" s="21">
        <v>20</v>
      </c>
      <c r="D58" s="21" t="s">
        <v>20</v>
      </c>
      <c r="E58" s="20">
        <f>E57</f>
        <v>28</v>
      </c>
      <c r="F58" s="20">
        <f t="shared" si="13"/>
        <v>560</v>
      </c>
      <c r="G58" s="22" t="s">
        <v>24</v>
      </c>
      <c r="H58" s="23" t="s">
        <v>25</v>
      </c>
      <c r="I58" s="24"/>
      <c r="J58" s="24"/>
    </row>
    <row r="59" spans="1:10" customFormat="1" ht="45" customHeight="1" outlineLevel="1" x14ac:dyDescent="0.3">
      <c r="A59" s="19">
        <v>3</v>
      </c>
      <c r="B59" s="20" t="s">
        <v>26</v>
      </c>
      <c r="C59" s="21">
        <v>5</v>
      </c>
      <c r="D59" s="21" t="s">
        <v>20</v>
      </c>
      <c r="E59" s="20">
        <f>E57</f>
        <v>28</v>
      </c>
      <c r="F59" s="20">
        <f t="shared" si="13"/>
        <v>140</v>
      </c>
      <c r="G59" s="22" t="s">
        <v>27</v>
      </c>
      <c r="H59" s="23" t="s">
        <v>28</v>
      </c>
      <c r="I59" s="24"/>
      <c r="J59" s="24"/>
    </row>
    <row r="60" spans="1:10" customFormat="1" ht="45" customHeight="1" outlineLevel="1" x14ac:dyDescent="0.3">
      <c r="A60" s="19">
        <v>4</v>
      </c>
      <c r="B60" s="20" t="s">
        <v>32</v>
      </c>
      <c r="C60" s="21">
        <v>15</v>
      </c>
      <c r="D60" s="21" t="s">
        <v>20</v>
      </c>
      <c r="E60" s="20">
        <f>E57</f>
        <v>28</v>
      </c>
      <c r="F60" s="20">
        <f t="shared" si="13"/>
        <v>420</v>
      </c>
      <c r="G60" s="22" t="s">
        <v>33</v>
      </c>
      <c r="H60" s="23" t="s">
        <v>34</v>
      </c>
      <c r="I60" s="24"/>
      <c r="J60" s="24"/>
    </row>
    <row r="61" spans="1:10" customFormat="1" ht="45" customHeight="1" outlineLevel="1" x14ac:dyDescent="0.3">
      <c r="A61" s="19">
        <v>5</v>
      </c>
      <c r="B61" s="20" t="s">
        <v>35</v>
      </c>
      <c r="C61" s="21">
        <v>15</v>
      </c>
      <c r="D61" s="21" t="s">
        <v>20</v>
      </c>
      <c r="E61" s="20">
        <f>E57</f>
        <v>28</v>
      </c>
      <c r="F61" s="20">
        <f t="shared" si="13"/>
        <v>420</v>
      </c>
      <c r="G61" s="22" t="s">
        <v>33</v>
      </c>
      <c r="H61" s="23" t="s">
        <v>36</v>
      </c>
      <c r="I61" s="24"/>
      <c r="J61" s="24"/>
    </row>
    <row r="62" spans="1:10" customFormat="1" ht="45" customHeight="1" outlineLevel="1" x14ac:dyDescent="0.3">
      <c r="A62" s="19">
        <v>6</v>
      </c>
      <c r="B62" s="20" t="s">
        <v>37</v>
      </c>
      <c r="C62" s="21">
        <v>3</v>
      </c>
      <c r="D62" s="21" t="s">
        <v>20</v>
      </c>
      <c r="E62" s="20">
        <v>45</v>
      </c>
      <c r="F62" s="20">
        <f t="shared" si="13"/>
        <v>135</v>
      </c>
      <c r="G62" s="22" t="s">
        <v>21</v>
      </c>
      <c r="H62" s="23" t="s">
        <v>38</v>
      </c>
      <c r="I62" s="24"/>
      <c r="J62" s="24"/>
    </row>
    <row r="63" spans="1:10" customFormat="1" ht="60" customHeight="1" outlineLevel="1" x14ac:dyDescent="0.3">
      <c r="A63" s="19">
        <v>7</v>
      </c>
      <c r="B63" s="20" t="s">
        <v>39</v>
      </c>
      <c r="C63" s="21">
        <v>75</v>
      </c>
      <c r="D63" s="21" t="s">
        <v>20</v>
      </c>
      <c r="E63" s="20">
        <v>45</v>
      </c>
      <c r="F63" s="20">
        <f t="shared" si="13"/>
        <v>3375</v>
      </c>
      <c r="G63" s="22" t="s">
        <v>30</v>
      </c>
      <c r="H63" s="23" t="s">
        <v>57</v>
      </c>
      <c r="I63" s="24"/>
      <c r="J63" s="24"/>
    </row>
    <row r="64" spans="1:10" customFormat="1" ht="45" customHeight="1" outlineLevel="1" x14ac:dyDescent="0.3">
      <c r="A64" s="19">
        <v>8</v>
      </c>
      <c r="B64" s="20" t="s">
        <v>40</v>
      </c>
      <c r="C64" s="21">
        <v>20</v>
      </c>
      <c r="D64" s="21" t="s">
        <v>20</v>
      </c>
      <c r="E64" s="20">
        <f>E62</f>
        <v>45</v>
      </c>
      <c r="F64" s="20">
        <f t="shared" si="13"/>
        <v>900</v>
      </c>
      <c r="G64" s="22" t="s">
        <v>24</v>
      </c>
      <c r="H64" s="23" t="s">
        <v>25</v>
      </c>
      <c r="I64" s="24"/>
      <c r="J64" s="24"/>
    </row>
    <row r="65" spans="1:10" customFormat="1" ht="45" customHeight="1" outlineLevel="1" x14ac:dyDescent="0.3">
      <c r="A65" s="19">
        <v>9</v>
      </c>
      <c r="B65" s="20" t="s">
        <v>41</v>
      </c>
      <c r="C65" s="21">
        <v>5</v>
      </c>
      <c r="D65" s="21" t="s">
        <v>20</v>
      </c>
      <c r="E65" s="20">
        <f>E64</f>
        <v>45</v>
      </c>
      <c r="F65" s="20">
        <f t="shared" si="13"/>
        <v>225</v>
      </c>
      <c r="G65" s="22" t="s">
        <v>27</v>
      </c>
      <c r="H65" s="23" t="s">
        <v>28</v>
      </c>
      <c r="I65" s="24"/>
      <c r="J65" s="24"/>
    </row>
    <row r="66" spans="1:10" customFormat="1" ht="45" customHeight="1" outlineLevel="1" x14ac:dyDescent="0.3">
      <c r="A66" s="19">
        <v>10</v>
      </c>
      <c r="B66" s="20" t="s">
        <v>42</v>
      </c>
      <c r="C66" s="21">
        <v>15</v>
      </c>
      <c r="D66" s="21" t="s">
        <v>20</v>
      </c>
      <c r="E66" s="20">
        <f>E62</f>
        <v>45</v>
      </c>
      <c r="F66" s="20">
        <f t="shared" si="13"/>
        <v>675</v>
      </c>
      <c r="G66" s="22" t="s">
        <v>33</v>
      </c>
      <c r="H66" s="23" t="s">
        <v>34</v>
      </c>
      <c r="I66" s="24"/>
      <c r="J66" s="24"/>
    </row>
    <row r="67" spans="1:10" customFormat="1" ht="60" customHeight="1" outlineLevel="1" x14ac:dyDescent="0.3">
      <c r="A67" s="19">
        <v>11</v>
      </c>
      <c r="B67" s="20" t="s">
        <v>44</v>
      </c>
      <c r="C67" s="21">
        <v>150</v>
      </c>
      <c r="D67" s="21" t="s">
        <v>20</v>
      </c>
      <c r="E67" s="20">
        <v>25</v>
      </c>
      <c r="F67" s="20">
        <f t="shared" si="13"/>
        <v>3750</v>
      </c>
      <c r="G67" s="78" t="s">
        <v>225</v>
      </c>
      <c r="H67" s="23" t="s">
        <v>46</v>
      </c>
    </row>
    <row r="68" spans="1:10" customFormat="1" ht="45" customHeight="1" outlineLevel="1" x14ac:dyDescent="0.3">
      <c r="A68" s="19">
        <v>12</v>
      </c>
      <c r="B68" s="20" t="s">
        <v>47</v>
      </c>
      <c r="C68" s="21">
        <v>195</v>
      </c>
      <c r="D68" s="21" t="s">
        <v>20</v>
      </c>
      <c r="E68" s="20">
        <v>15</v>
      </c>
      <c r="F68" s="20">
        <f t="shared" ref="F68" si="14">E68*C68</f>
        <v>2925</v>
      </c>
      <c r="G68" s="22" t="s">
        <v>48</v>
      </c>
      <c r="H68" s="23" t="s">
        <v>49</v>
      </c>
    </row>
    <row r="69" spans="1:10" customFormat="1" ht="45" customHeight="1" outlineLevel="1" x14ac:dyDescent="0.3">
      <c r="A69" s="19">
        <v>13</v>
      </c>
      <c r="B69" s="20" t="s">
        <v>73</v>
      </c>
      <c r="C69" s="21">
        <v>195</v>
      </c>
      <c r="D69" s="21" t="s">
        <v>20</v>
      </c>
      <c r="E69" s="20">
        <v>13</v>
      </c>
      <c r="F69" s="20">
        <f t="shared" ref="F69:F70" si="15">E69*C69</f>
        <v>2535</v>
      </c>
      <c r="G69" s="22" t="s">
        <v>48</v>
      </c>
      <c r="H69" s="23" t="s">
        <v>49</v>
      </c>
    </row>
    <row r="70" spans="1:10" customFormat="1" ht="45" customHeight="1" outlineLevel="1" x14ac:dyDescent="0.3">
      <c r="A70" s="19">
        <v>14</v>
      </c>
      <c r="B70" s="20" t="s">
        <v>60</v>
      </c>
      <c r="C70" s="21">
        <v>105</v>
      </c>
      <c r="D70" s="21" t="s">
        <v>51</v>
      </c>
      <c r="E70" s="20">
        <v>3.5</v>
      </c>
      <c r="F70" s="20">
        <f t="shared" si="15"/>
        <v>367.5</v>
      </c>
      <c r="G70" s="22" t="s">
        <v>48</v>
      </c>
      <c r="H70" s="23" t="s">
        <v>61</v>
      </c>
    </row>
    <row r="71" spans="1:10" customFormat="1" ht="45" customHeight="1" outlineLevel="1" x14ac:dyDescent="0.3">
      <c r="A71" s="19">
        <v>15</v>
      </c>
      <c r="B71" s="20" t="s">
        <v>74</v>
      </c>
      <c r="C71" s="21">
        <v>90</v>
      </c>
      <c r="D71" s="21" t="s">
        <v>51</v>
      </c>
      <c r="E71" s="20">
        <v>14</v>
      </c>
      <c r="F71" s="20">
        <f t="shared" ref="F71" si="16">E71*C71</f>
        <v>1260</v>
      </c>
      <c r="G71" s="22" t="s">
        <v>52</v>
      </c>
      <c r="H71" s="23" t="s">
        <v>53</v>
      </c>
    </row>
    <row r="72" spans="1:10" customFormat="1" ht="45" customHeight="1" outlineLevel="1" x14ac:dyDescent="0.3">
      <c r="A72" s="19">
        <v>16</v>
      </c>
      <c r="B72" s="20" t="s">
        <v>75</v>
      </c>
      <c r="C72" s="21">
        <v>40</v>
      </c>
      <c r="D72" s="21" t="s">
        <v>51</v>
      </c>
      <c r="E72" s="20">
        <v>11.2</v>
      </c>
      <c r="F72" s="20">
        <f t="shared" ref="F72:F75" si="17">E72*C72</f>
        <v>448</v>
      </c>
      <c r="G72" s="22" t="s">
        <v>52</v>
      </c>
      <c r="H72" s="23" t="s">
        <v>53</v>
      </c>
    </row>
    <row r="73" spans="1:10" customFormat="1" ht="45" customHeight="1" outlineLevel="1" x14ac:dyDescent="0.3">
      <c r="A73" s="19">
        <v>17</v>
      </c>
      <c r="B73" s="20" t="s">
        <v>63</v>
      </c>
      <c r="C73" s="21">
        <v>100</v>
      </c>
      <c r="D73" s="21" t="s">
        <v>64</v>
      </c>
      <c r="E73" s="20">
        <v>4</v>
      </c>
      <c r="F73" s="20">
        <f t="shared" si="17"/>
        <v>400</v>
      </c>
      <c r="G73" s="22" t="s">
        <v>52</v>
      </c>
      <c r="H73" s="23" t="s">
        <v>53</v>
      </c>
    </row>
    <row r="74" spans="1:10" customFormat="1" ht="45" customHeight="1" outlineLevel="1" x14ac:dyDescent="0.3">
      <c r="A74" s="19">
        <v>18</v>
      </c>
      <c r="B74" s="76" t="s">
        <v>224</v>
      </c>
      <c r="C74" s="21">
        <v>1</v>
      </c>
      <c r="D74" s="77" t="s">
        <v>223</v>
      </c>
      <c r="E74" s="20">
        <v>7000</v>
      </c>
      <c r="F74" s="20">
        <f t="shared" si="17"/>
        <v>7000</v>
      </c>
      <c r="G74" s="78" t="s">
        <v>226</v>
      </c>
      <c r="H74" s="23"/>
    </row>
    <row r="75" spans="1:10" customFormat="1" ht="45" customHeight="1" outlineLevel="1" x14ac:dyDescent="0.3">
      <c r="A75" s="19">
        <v>19</v>
      </c>
      <c r="B75" s="76" t="s">
        <v>222</v>
      </c>
      <c r="C75" s="21">
        <v>1</v>
      </c>
      <c r="D75" s="77" t="s">
        <v>223</v>
      </c>
      <c r="E75" s="20">
        <v>700</v>
      </c>
      <c r="F75" s="20">
        <f t="shared" si="17"/>
        <v>700</v>
      </c>
      <c r="G75" s="78" t="s">
        <v>227</v>
      </c>
      <c r="H75" s="23"/>
    </row>
    <row r="76" spans="1:10" ht="45" customHeight="1" outlineLevel="1" x14ac:dyDescent="0.3">
      <c r="A76" s="19">
        <v>20</v>
      </c>
      <c r="B76" s="20" t="s">
        <v>76</v>
      </c>
      <c r="C76" s="21">
        <v>85</v>
      </c>
      <c r="D76" s="21" t="s">
        <v>51</v>
      </c>
      <c r="E76" s="20">
        <v>3.1</v>
      </c>
      <c r="F76" s="20">
        <f t="shared" ref="F76:F78" si="18">E76*C76</f>
        <v>263.5</v>
      </c>
      <c r="G76" s="22" t="s">
        <v>77</v>
      </c>
      <c r="H76" s="23" t="s">
        <v>78</v>
      </c>
    </row>
    <row r="77" spans="1:10" ht="45" customHeight="1" outlineLevel="1" x14ac:dyDescent="0.3">
      <c r="A77" s="19">
        <v>21</v>
      </c>
      <c r="B77" s="20" t="s">
        <v>79</v>
      </c>
      <c r="C77" s="21">
        <v>80</v>
      </c>
      <c r="D77" s="21" t="s">
        <v>51</v>
      </c>
      <c r="E77" s="20">
        <v>3.1</v>
      </c>
      <c r="F77" s="20">
        <f t="shared" si="18"/>
        <v>248</v>
      </c>
      <c r="G77" s="22" t="s">
        <v>80</v>
      </c>
      <c r="H77" s="23" t="s">
        <v>81</v>
      </c>
    </row>
    <row r="78" spans="1:10" ht="45" customHeight="1" outlineLevel="1" x14ac:dyDescent="0.3">
      <c r="A78" s="19">
        <v>22</v>
      </c>
      <c r="B78" s="20" t="s">
        <v>82</v>
      </c>
      <c r="C78" s="21">
        <v>80</v>
      </c>
      <c r="D78" s="21" t="s">
        <v>51</v>
      </c>
      <c r="E78" s="20">
        <v>12</v>
      </c>
      <c r="F78" s="20">
        <f t="shared" si="18"/>
        <v>960</v>
      </c>
      <c r="G78" s="22" t="s">
        <v>83</v>
      </c>
      <c r="H78" s="23" t="s">
        <v>84</v>
      </c>
    </row>
    <row r="79" spans="1:10" ht="16.5" customHeight="1" x14ac:dyDescent="0.3">
      <c r="A79" s="60"/>
      <c r="B79" s="60"/>
      <c r="C79" s="60"/>
      <c r="D79" s="60"/>
      <c r="E79" s="60"/>
      <c r="F79" s="60"/>
      <c r="G79" s="60"/>
      <c r="H79" s="60"/>
    </row>
    <row r="80" spans="1:10" ht="15" customHeight="1" x14ac:dyDescent="0.3">
      <c r="A80" s="61" t="s">
        <v>85</v>
      </c>
      <c r="B80" s="61"/>
      <c r="C80" s="61"/>
      <c r="D80" s="61"/>
      <c r="E80" s="61"/>
      <c r="F80" s="62"/>
      <c r="G80" s="63">
        <f>SUM(F82:F100)</f>
        <v>24689</v>
      </c>
      <c r="H80" s="64"/>
    </row>
    <row r="81" spans="1:10" ht="15" customHeight="1" x14ac:dyDescent="0.3">
      <c r="A81" s="16" t="s">
        <v>11</v>
      </c>
      <c r="B81" s="17" t="s">
        <v>12</v>
      </c>
      <c r="C81" s="17" t="s">
        <v>13</v>
      </c>
      <c r="D81" s="17" t="s">
        <v>14</v>
      </c>
      <c r="E81" s="17" t="s">
        <v>15</v>
      </c>
      <c r="F81" s="17" t="s">
        <v>16</v>
      </c>
      <c r="G81" s="17" t="s">
        <v>17</v>
      </c>
      <c r="H81" s="18" t="s">
        <v>18</v>
      </c>
    </row>
    <row r="82" spans="1:10" customFormat="1" ht="45" customHeight="1" outlineLevel="1" x14ac:dyDescent="0.3">
      <c r="A82" s="19">
        <v>1</v>
      </c>
      <c r="B82" s="20" t="s">
        <v>19</v>
      </c>
      <c r="C82" s="21">
        <v>3</v>
      </c>
      <c r="D82" s="21" t="s">
        <v>20</v>
      </c>
      <c r="E82" s="20">
        <v>25</v>
      </c>
      <c r="F82" s="20">
        <f t="shared" ref="F82:F92" si="19">E82*C82</f>
        <v>75</v>
      </c>
      <c r="G82" s="22" t="s">
        <v>21</v>
      </c>
      <c r="H82" s="23" t="s">
        <v>22</v>
      </c>
      <c r="I82" s="24"/>
      <c r="J82" s="24"/>
    </row>
    <row r="83" spans="1:10" customFormat="1" ht="45" customHeight="1" outlineLevel="1" x14ac:dyDescent="0.3">
      <c r="A83" s="19">
        <v>2</v>
      </c>
      <c r="B83" s="20" t="s">
        <v>23</v>
      </c>
      <c r="C83" s="21">
        <v>20</v>
      </c>
      <c r="D83" s="21" t="s">
        <v>20</v>
      </c>
      <c r="E83" s="20">
        <f>E82</f>
        <v>25</v>
      </c>
      <c r="F83" s="20">
        <f t="shared" si="19"/>
        <v>500</v>
      </c>
      <c r="G83" s="22" t="s">
        <v>24</v>
      </c>
      <c r="H83" s="23" t="s">
        <v>25</v>
      </c>
      <c r="I83" s="24"/>
      <c r="J83" s="24"/>
    </row>
    <row r="84" spans="1:10" customFormat="1" ht="45" customHeight="1" outlineLevel="1" x14ac:dyDescent="0.3">
      <c r="A84" s="19">
        <v>3</v>
      </c>
      <c r="B84" s="20" t="s">
        <v>26</v>
      </c>
      <c r="C84" s="21">
        <v>5</v>
      </c>
      <c r="D84" s="21" t="s">
        <v>20</v>
      </c>
      <c r="E84" s="20">
        <f>E82</f>
        <v>25</v>
      </c>
      <c r="F84" s="20">
        <f t="shared" si="19"/>
        <v>125</v>
      </c>
      <c r="G84" s="22" t="s">
        <v>27</v>
      </c>
      <c r="H84" s="23" t="s">
        <v>28</v>
      </c>
      <c r="I84" s="24"/>
      <c r="J84" s="24"/>
    </row>
    <row r="85" spans="1:10" customFormat="1" ht="60" customHeight="1" outlineLevel="1" x14ac:dyDescent="0.3">
      <c r="A85" s="19">
        <v>4</v>
      </c>
      <c r="B85" s="20" t="s">
        <v>29</v>
      </c>
      <c r="C85" s="21">
        <v>75</v>
      </c>
      <c r="D85" s="21" t="s">
        <v>20</v>
      </c>
      <c r="E85" s="20">
        <v>15</v>
      </c>
      <c r="F85" s="20">
        <f t="shared" ref="F85" si="20">E85*C85</f>
        <v>1125</v>
      </c>
      <c r="G85" s="22" t="s">
        <v>30</v>
      </c>
      <c r="H85" s="23" t="s">
        <v>57</v>
      </c>
      <c r="I85" s="24"/>
      <c r="J85" s="24"/>
    </row>
    <row r="86" spans="1:10" customFormat="1" ht="45" customHeight="1" outlineLevel="1" x14ac:dyDescent="0.3">
      <c r="A86" s="19">
        <v>5</v>
      </c>
      <c r="B86" s="20" t="s">
        <v>32</v>
      </c>
      <c r="C86" s="21">
        <v>15</v>
      </c>
      <c r="D86" s="21" t="s">
        <v>20</v>
      </c>
      <c r="E86" s="20">
        <f>E82</f>
        <v>25</v>
      </c>
      <c r="F86" s="20">
        <f t="shared" si="19"/>
        <v>375</v>
      </c>
      <c r="G86" s="22" t="s">
        <v>33</v>
      </c>
      <c r="H86" s="23" t="s">
        <v>34</v>
      </c>
      <c r="I86" s="24"/>
      <c r="J86" s="24"/>
    </row>
    <row r="87" spans="1:10" customFormat="1" ht="45" customHeight="1" outlineLevel="1" x14ac:dyDescent="0.3">
      <c r="A87" s="19">
        <v>6</v>
      </c>
      <c r="B87" s="20" t="s">
        <v>35</v>
      </c>
      <c r="C87" s="21">
        <v>15</v>
      </c>
      <c r="D87" s="21" t="s">
        <v>20</v>
      </c>
      <c r="E87" s="20">
        <f>E82</f>
        <v>25</v>
      </c>
      <c r="F87" s="20">
        <f t="shared" si="19"/>
        <v>375</v>
      </c>
      <c r="G87" s="22" t="s">
        <v>33</v>
      </c>
      <c r="H87" s="23" t="s">
        <v>36</v>
      </c>
      <c r="I87" s="24"/>
      <c r="J87" s="24"/>
    </row>
    <row r="88" spans="1:10" customFormat="1" ht="45" customHeight="1" outlineLevel="1" x14ac:dyDescent="0.3">
      <c r="A88" s="19">
        <v>7</v>
      </c>
      <c r="B88" s="20" t="s">
        <v>37</v>
      </c>
      <c r="C88" s="21">
        <v>3</v>
      </c>
      <c r="D88" s="21" t="s">
        <v>20</v>
      </c>
      <c r="E88" s="20">
        <v>75</v>
      </c>
      <c r="F88" s="20">
        <f t="shared" si="19"/>
        <v>225</v>
      </c>
      <c r="G88" s="22" t="s">
        <v>21</v>
      </c>
      <c r="H88" s="23" t="s">
        <v>38</v>
      </c>
      <c r="I88" s="24"/>
      <c r="J88" s="24"/>
    </row>
    <row r="89" spans="1:10" customFormat="1" ht="60" customHeight="1" outlineLevel="1" x14ac:dyDescent="0.3">
      <c r="A89" s="19">
        <v>8</v>
      </c>
      <c r="B89" s="20" t="s">
        <v>39</v>
      </c>
      <c r="C89" s="21">
        <v>75</v>
      </c>
      <c r="D89" s="21" t="s">
        <v>20</v>
      </c>
      <c r="E89" s="20">
        <v>75</v>
      </c>
      <c r="F89" s="20">
        <f t="shared" si="19"/>
        <v>5625</v>
      </c>
      <c r="G89" s="22" t="s">
        <v>30</v>
      </c>
      <c r="H89" s="23" t="s">
        <v>57</v>
      </c>
      <c r="I89" s="24"/>
      <c r="J89" s="24"/>
    </row>
    <row r="90" spans="1:10" customFormat="1" ht="45" customHeight="1" outlineLevel="1" x14ac:dyDescent="0.3">
      <c r="A90" s="19">
        <v>9</v>
      </c>
      <c r="B90" s="20" t="s">
        <v>40</v>
      </c>
      <c r="C90" s="21">
        <v>20</v>
      </c>
      <c r="D90" s="21" t="s">
        <v>20</v>
      </c>
      <c r="E90" s="20">
        <f>E88</f>
        <v>75</v>
      </c>
      <c r="F90" s="20">
        <f t="shared" si="19"/>
        <v>1500</v>
      </c>
      <c r="G90" s="22" t="s">
        <v>24</v>
      </c>
      <c r="H90" s="23" t="s">
        <v>25</v>
      </c>
      <c r="I90" s="24"/>
      <c r="J90" s="24"/>
    </row>
    <row r="91" spans="1:10" customFormat="1" ht="45" customHeight="1" outlineLevel="1" x14ac:dyDescent="0.3">
      <c r="A91" s="19">
        <v>10</v>
      </c>
      <c r="B91" s="20" t="s">
        <v>41</v>
      </c>
      <c r="C91" s="21">
        <v>5</v>
      </c>
      <c r="D91" s="21" t="s">
        <v>20</v>
      </c>
      <c r="E91" s="20">
        <f>E90</f>
        <v>75</v>
      </c>
      <c r="F91" s="20">
        <f t="shared" si="19"/>
        <v>375</v>
      </c>
      <c r="G91" s="22" t="s">
        <v>27</v>
      </c>
      <c r="H91" s="23" t="s">
        <v>28</v>
      </c>
      <c r="I91" s="24"/>
      <c r="J91" s="24"/>
    </row>
    <row r="92" spans="1:10" customFormat="1" ht="45" customHeight="1" outlineLevel="1" x14ac:dyDescent="0.3">
      <c r="A92" s="19">
        <v>11</v>
      </c>
      <c r="B92" s="20" t="s">
        <v>42</v>
      </c>
      <c r="C92" s="21">
        <v>15</v>
      </c>
      <c r="D92" s="21" t="s">
        <v>20</v>
      </c>
      <c r="E92" s="20">
        <f>E88</f>
        <v>75</v>
      </c>
      <c r="F92" s="20">
        <f t="shared" si="19"/>
        <v>1125</v>
      </c>
      <c r="G92" s="22" t="s">
        <v>33</v>
      </c>
      <c r="H92" s="23" t="s">
        <v>34</v>
      </c>
      <c r="I92" s="24"/>
      <c r="J92" s="24"/>
    </row>
    <row r="93" spans="1:10" customFormat="1" ht="45" customHeight="1" outlineLevel="1" x14ac:dyDescent="0.3">
      <c r="A93" s="19">
        <v>12</v>
      </c>
      <c r="B93" s="20" t="s">
        <v>43</v>
      </c>
      <c r="C93" s="21">
        <v>15</v>
      </c>
      <c r="D93" s="21" t="s">
        <v>20</v>
      </c>
      <c r="E93" s="20">
        <f>E89</f>
        <v>75</v>
      </c>
      <c r="F93" s="20">
        <f t="shared" ref="F93:F94" si="21">E93*C93</f>
        <v>1125</v>
      </c>
      <c r="G93" s="22" t="s">
        <v>33</v>
      </c>
      <c r="H93" s="23" t="s">
        <v>36</v>
      </c>
      <c r="I93" s="24"/>
      <c r="J93" s="24"/>
    </row>
    <row r="94" spans="1:10" customFormat="1" ht="60" customHeight="1" outlineLevel="1" x14ac:dyDescent="0.3">
      <c r="A94" s="19">
        <v>13</v>
      </c>
      <c r="B94" s="20" t="s">
        <v>44</v>
      </c>
      <c r="C94" s="21">
        <v>150</v>
      </c>
      <c r="D94" s="21" t="s">
        <v>20</v>
      </c>
      <c r="E94" s="20">
        <v>25</v>
      </c>
      <c r="F94" s="20">
        <f t="shared" si="21"/>
        <v>3750</v>
      </c>
      <c r="G94" s="22" t="s">
        <v>45</v>
      </c>
      <c r="H94" s="23" t="s">
        <v>46</v>
      </c>
    </row>
    <row r="95" spans="1:10" customFormat="1" ht="45" customHeight="1" outlineLevel="1" x14ac:dyDescent="0.3">
      <c r="A95" s="19">
        <v>14</v>
      </c>
      <c r="B95" s="20" t="s">
        <v>86</v>
      </c>
      <c r="C95" s="21">
        <v>195</v>
      </c>
      <c r="D95" s="21" t="s">
        <v>20</v>
      </c>
      <c r="E95" s="20">
        <v>12</v>
      </c>
      <c r="F95" s="20">
        <f t="shared" ref="F95:F99" si="22">E95*C95</f>
        <v>2340</v>
      </c>
      <c r="G95" s="22" t="s">
        <v>48</v>
      </c>
      <c r="H95" s="23" t="s">
        <v>49</v>
      </c>
    </row>
    <row r="96" spans="1:10" customFormat="1" ht="45" customHeight="1" outlineLevel="1" x14ac:dyDescent="0.3">
      <c r="A96" s="19">
        <v>15</v>
      </c>
      <c r="B96" s="20" t="s">
        <v>60</v>
      </c>
      <c r="C96" s="21">
        <v>105</v>
      </c>
      <c r="D96" s="21" t="s">
        <v>51</v>
      </c>
      <c r="E96" s="20">
        <v>3.8</v>
      </c>
      <c r="F96" s="20">
        <f t="shared" si="22"/>
        <v>399</v>
      </c>
      <c r="G96" s="22" t="s">
        <v>48</v>
      </c>
      <c r="H96" s="23" t="s">
        <v>61</v>
      </c>
    </row>
    <row r="97" spans="1:10" customFormat="1" ht="45" customHeight="1" outlineLevel="1" x14ac:dyDescent="0.3">
      <c r="A97" s="19">
        <v>16</v>
      </c>
      <c r="B97" s="20" t="s">
        <v>62</v>
      </c>
      <c r="C97" s="21">
        <v>70</v>
      </c>
      <c r="D97" s="21" t="s">
        <v>51</v>
      </c>
      <c r="E97" s="20">
        <v>13</v>
      </c>
      <c r="F97" s="20">
        <f t="shared" si="22"/>
        <v>910</v>
      </c>
      <c r="G97" s="22" t="s">
        <v>52</v>
      </c>
      <c r="H97" s="23" t="s">
        <v>53</v>
      </c>
    </row>
    <row r="98" spans="1:10" customFormat="1" ht="45" customHeight="1" outlineLevel="1" x14ac:dyDescent="0.3">
      <c r="A98" s="19">
        <v>17</v>
      </c>
      <c r="B98" s="20" t="s">
        <v>75</v>
      </c>
      <c r="C98" s="21">
        <v>40</v>
      </c>
      <c r="D98" s="21" t="s">
        <v>51</v>
      </c>
      <c r="E98" s="20">
        <v>11</v>
      </c>
      <c r="F98" s="20">
        <f t="shared" si="22"/>
        <v>440</v>
      </c>
      <c r="G98" s="22" t="s">
        <v>52</v>
      </c>
      <c r="H98" s="23" t="s">
        <v>53</v>
      </c>
    </row>
    <row r="99" spans="1:10" customFormat="1" ht="45" customHeight="1" outlineLevel="1" x14ac:dyDescent="0.3">
      <c r="A99" s="19">
        <v>18</v>
      </c>
      <c r="B99" s="20" t="s">
        <v>63</v>
      </c>
      <c r="C99" s="21">
        <v>100</v>
      </c>
      <c r="D99" s="21" t="s">
        <v>64</v>
      </c>
      <c r="E99" s="20">
        <v>4</v>
      </c>
      <c r="F99" s="20">
        <f t="shared" si="22"/>
        <v>400</v>
      </c>
      <c r="G99" s="22" t="s">
        <v>52</v>
      </c>
      <c r="H99" s="23" t="s">
        <v>53</v>
      </c>
    </row>
    <row r="100" spans="1:10" customFormat="1" ht="45" customHeight="1" outlineLevel="1" x14ac:dyDescent="0.3">
      <c r="A100" s="19">
        <v>19</v>
      </c>
      <c r="B100" s="20" t="s">
        <v>87</v>
      </c>
      <c r="C100" s="21">
        <v>195</v>
      </c>
      <c r="D100" s="21" t="s">
        <v>20</v>
      </c>
      <c r="E100" s="20">
        <v>20</v>
      </c>
      <c r="F100" s="20">
        <f t="shared" ref="F100" si="23">E100*C100</f>
        <v>3900</v>
      </c>
      <c r="G100" s="22" t="s">
        <v>48</v>
      </c>
      <c r="H100" s="23" t="s">
        <v>71</v>
      </c>
    </row>
    <row r="101" spans="1:10" ht="16.5" customHeight="1" x14ac:dyDescent="0.3">
      <c r="A101" s="60"/>
      <c r="B101" s="60"/>
      <c r="C101" s="60"/>
      <c r="D101" s="60"/>
      <c r="E101" s="60"/>
      <c r="F101" s="60"/>
      <c r="G101" s="60"/>
      <c r="H101" s="60"/>
    </row>
    <row r="102" spans="1:10" ht="15" customHeight="1" x14ac:dyDescent="0.3">
      <c r="A102" s="61" t="s">
        <v>88</v>
      </c>
      <c r="B102" s="61"/>
      <c r="C102" s="61"/>
      <c r="D102" s="61"/>
      <c r="E102" s="61"/>
      <c r="F102" s="62"/>
      <c r="G102" s="63">
        <f>SUM(F104:F126)</f>
        <v>25700.5</v>
      </c>
      <c r="H102" s="64"/>
    </row>
    <row r="103" spans="1:10" ht="15" customHeight="1" x14ac:dyDescent="0.3">
      <c r="A103" s="16" t="s">
        <v>11</v>
      </c>
      <c r="B103" s="17" t="s">
        <v>12</v>
      </c>
      <c r="C103" s="17" t="s">
        <v>13</v>
      </c>
      <c r="D103" s="17" t="s">
        <v>14</v>
      </c>
      <c r="E103" s="17" t="s">
        <v>15</v>
      </c>
      <c r="F103" s="17" t="s">
        <v>16</v>
      </c>
      <c r="G103" s="17" t="s">
        <v>17</v>
      </c>
      <c r="H103" s="18" t="s">
        <v>18</v>
      </c>
    </row>
    <row r="104" spans="1:10" customFormat="1" ht="45" customHeight="1" outlineLevel="1" x14ac:dyDescent="0.3">
      <c r="A104" s="19">
        <v>1</v>
      </c>
      <c r="B104" s="20" t="s">
        <v>19</v>
      </c>
      <c r="C104" s="21">
        <v>3</v>
      </c>
      <c r="D104" s="21" t="s">
        <v>20</v>
      </c>
      <c r="E104" s="20">
        <v>19</v>
      </c>
      <c r="F104" s="20">
        <f t="shared" ref="F104:F113" si="24">E104*C104</f>
        <v>57</v>
      </c>
      <c r="G104" s="22" t="s">
        <v>21</v>
      </c>
      <c r="H104" s="23" t="s">
        <v>22</v>
      </c>
      <c r="I104" s="24"/>
      <c r="J104" s="24"/>
    </row>
    <row r="105" spans="1:10" customFormat="1" ht="45" customHeight="1" outlineLevel="1" x14ac:dyDescent="0.3">
      <c r="A105" s="19">
        <v>2</v>
      </c>
      <c r="B105" s="20" t="s">
        <v>23</v>
      </c>
      <c r="C105" s="21">
        <v>20</v>
      </c>
      <c r="D105" s="21" t="s">
        <v>20</v>
      </c>
      <c r="E105" s="20">
        <f>E104</f>
        <v>19</v>
      </c>
      <c r="F105" s="20">
        <f t="shared" si="24"/>
        <v>380</v>
      </c>
      <c r="G105" s="22" t="s">
        <v>24</v>
      </c>
      <c r="H105" s="23" t="s">
        <v>25</v>
      </c>
      <c r="I105" s="24"/>
      <c r="J105" s="24"/>
    </row>
    <row r="106" spans="1:10" customFormat="1" ht="45" customHeight="1" outlineLevel="1" x14ac:dyDescent="0.3">
      <c r="A106" s="19">
        <v>3</v>
      </c>
      <c r="B106" s="20" t="s">
        <v>26</v>
      </c>
      <c r="C106" s="21">
        <v>5</v>
      </c>
      <c r="D106" s="21" t="s">
        <v>20</v>
      </c>
      <c r="E106" s="20">
        <f>E104</f>
        <v>19</v>
      </c>
      <c r="F106" s="20">
        <f t="shared" si="24"/>
        <v>95</v>
      </c>
      <c r="G106" s="22" t="s">
        <v>27</v>
      </c>
      <c r="H106" s="23" t="s">
        <v>28</v>
      </c>
      <c r="I106" s="24"/>
      <c r="J106" s="24"/>
    </row>
    <row r="107" spans="1:10" customFormat="1" ht="45" customHeight="1" outlineLevel="1" x14ac:dyDescent="0.3">
      <c r="A107" s="19">
        <v>4</v>
      </c>
      <c r="B107" s="20" t="s">
        <v>32</v>
      </c>
      <c r="C107" s="21">
        <v>15</v>
      </c>
      <c r="D107" s="21" t="s">
        <v>20</v>
      </c>
      <c r="E107" s="20">
        <f>E104</f>
        <v>19</v>
      </c>
      <c r="F107" s="20">
        <f t="shared" si="24"/>
        <v>285</v>
      </c>
      <c r="G107" s="22" t="s">
        <v>33</v>
      </c>
      <c r="H107" s="23" t="s">
        <v>34</v>
      </c>
      <c r="I107" s="24"/>
      <c r="J107" s="24"/>
    </row>
    <row r="108" spans="1:10" customFormat="1" ht="45" customHeight="1" outlineLevel="1" x14ac:dyDescent="0.3">
      <c r="A108" s="19">
        <v>5</v>
      </c>
      <c r="B108" s="20" t="s">
        <v>35</v>
      </c>
      <c r="C108" s="21">
        <v>15</v>
      </c>
      <c r="D108" s="21" t="s">
        <v>20</v>
      </c>
      <c r="E108" s="20">
        <f>E104</f>
        <v>19</v>
      </c>
      <c r="F108" s="20">
        <f t="shared" si="24"/>
        <v>285</v>
      </c>
      <c r="G108" s="22" t="s">
        <v>33</v>
      </c>
      <c r="H108" s="23" t="s">
        <v>36</v>
      </c>
      <c r="I108" s="24"/>
      <c r="J108" s="24"/>
    </row>
    <row r="109" spans="1:10" customFormat="1" ht="45" customHeight="1" outlineLevel="1" x14ac:dyDescent="0.3">
      <c r="A109" s="19">
        <v>6</v>
      </c>
      <c r="B109" s="20" t="s">
        <v>37</v>
      </c>
      <c r="C109" s="21">
        <v>3</v>
      </c>
      <c r="D109" s="21" t="s">
        <v>20</v>
      </c>
      <c r="E109" s="20">
        <v>49</v>
      </c>
      <c r="F109" s="20">
        <f t="shared" si="24"/>
        <v>147</v>
      </c>
      <c r="G109" s="22" t="s">
        <v>21</v>
      </c>
      <c r="H109" s="23" t="s">
        <v>38</v>
      </c>
      <c r="I109" s="24"/>
      <c r="J109" s="24"/>
    </row>
    <row r="110" spans="1:10" customFormat="1" ht="60" customHeight="1" outlineLevel="1" x14ac:dyDescent="0.3">
      <c r="A110" s="19">
        <v>7</v>
      </c>
      <c r="B110" s="20" t="s">
        <v>39</v>
      </c>
      <c r="C110" s="21">
        <v>75</v>
      </c>
      <c r="D110" s="21" t="s">
        <v>20</v>
      </c>
      <c r="E110" s="20">
        <v>49</v>
      </c>
      <c r="F110" s="20">
        <f t="shared" si="24"/>
        <v>3675</v>
      </c>
      <c r="G110" s="22" t="s">
        <v>30</v>
      </c>
      <c r="H110" s="23" t="s">
        <v>57</v>
      </c>
      <c r="I110" s="24"/>
      <c r="J110" s="24"/>
    </row>
    <row r="111" spans="1:10" customFormat="1" ht="45" customHeight="1" outlineLevel="1" x14ac:dyDescent="0.3">
      <c r="A111" s="19">
        <v>8</v>
      </c>
      <c r="B111" s="20" t="s">
        <v>40</v>
      </c>
      <c r="C111" s="21">
        <v>20</v>
      </c>
      <c r="D111" s="21" t="s">
        <v>20</v>
      </c>
      <c r="E111" s="20">
        <f>E109</f>
        <v>49</v>
      </c>
      <c r="F111" s="20">
        <f t="shared" si="24"/>
        <v>980</v>
      </c>
      <c r="G111" s="22" t="s">
        <v>24</v>
      </c>
      <c r="H111" s="23" t="s">
        <v>25</v>
      </c>
      <c r="I111" s="24"/>
      <c r="J111" s="24"/>
    </row>
    <row r="112" spans="1:10" customFormat="1" ht="45" customHeight="1" outlineLevel="1" x14ac:dyDescent="0.3">
      <c r="A112" s="19">
        <v>9</v>
      </c>
      <c r="B112" s="20" t="s">
        <v>41</v>
      </c>
      <c r="C112" s="21">
        <v>5</v>
      </c>
      <c r="D112" s="21" t="s">
        <v>20</v>
      </c>
      <c r="E112" s="20">
        <f>E111</f>
        <v>49</v>
      </c>
      <c r="F112" s="20">
        <f t="shared" si="24"/>
        <v>245</v>
      </c>
      <c r="G112" s="22" t="s">
        <v>27</v>
      </c>
      <c r="H112" s="23" t="s">
        <v>28</v>
      </c>
      <c r="I112" s="24"/>
      <c r="J112" s="24"/>
    </row>
    <row r="113" spans="1:10" customFormat="1" ht="45" customHeight="1" outlineLevel="1" x14ac:dyDescent="0.3">
      <c r="A113" s="19">
        <v>10</v>
      </c>
      <c r="B113" s="20" t="s">
        <v>42</v>
      </c>
      <c r="C113" s="21">
        <v>15</v>
      </c>
      <c r="D113" s="21" t="s">
        <v>20</v>
      </c>
      <c r="E113" s="20">
        <f>E109</f>
        <v>49</v>
      </c>
      <c r="F113" s="20">
        <f t="shared" si="24"/>
        <v>735</v>
      </c>
      <c r="G113" s="22" t="s">
        <v>33</v>
      </c>
      <c r="H113" s="23" t="s">
        <v>34</v>
      </c>
      <c r="I113" s="24"/>
      <c r="J113" s="24"/>
    </row>
    <row r="114" spans="1:10" customFormat="1" ht="45" customHeight="1" outlineLevel="1" x14ac:dyDescent="0.3">
      <c r="A114" s="19">
        <v>11</v>
      </c>
      <c r="B114" s="20" t="s">
        <v>43</v>
      </c>
      <c r="C114" s="21">
        <v>15</v>
      </c>
      <c r="D114" s="21" t="s">
        <v>20</v>
      </c>
      <c r="E114" s="20">
        <f>E110</f>
        <v>49</v>
      </c>
      <c r="F114" s="20">
        <f t="shared" ref="F114:F115" si="25">E114*C114</f>
        <v>735</v>
      </c>
      <c r="G114" s="22" t="s">
        <v>33</v>
      </c>
      <c r="H114" s="23" t="s">
        <v>36</v>
      </c>
      <c r="I114" s="24"/>
      <c r="J114" s="24"/>
    </row>
    <row r="115" spans="1:10" customFormat="1" ht="60" customHeight="1" outlineLevel="1" x14ac:dyDescent="0.3">
      <c r="A115" s="19">
        <v>12</v>
      </c>
      <c r="B115" s="20" t="s">
        <v>44</v>
      </c>
      <c r="C115" s="21">
        <v>150</v>
      </c>
      <c r="D115" s="21" t="s">
        <v>20</v>
      </c>
      <c r="E115" s="20">
        <v>16</v>
      </c>
      <c r="F115" s="20">
        <f t="shared" si="25"/>
        <v>2400</v>
      </c>
      <c r="G115" s="22" t="s">
        <v>45</v>
      </c>
      <c r="H115" s="23" t="s">
        <v>46</v>
      </c>
    </row>
    <row r="116" spans="1:10" customFormat="1" ht="45" customHeight="1" outlineLevel="1" x14ac:dyDescent="0.3">
      <c r="A116" s="19">
        <v>13</v>
      </c>
      <c r="B116" s="20" t="s">
        <v>86</v>
      </c>
      <c r="C116" s="21">
        <v>195</v>
      </c>
      <c r="D116" s="21" t="s">
        <v>20</v>
      </c>
      <c r="E116" s="20">
        <v>8</v>
      </c>
      <c r="F116" s="20">
        <f t="shared" ref="F116" si="26">E116*C116</f>
        <v>1560</v>
      </c>
      <c r="G116" s="22" t="s">
        <v>48</v>
      </c>
      <c r="H116" s="23" t="s">
        <v>49</v>
      </c>
    </row>
    <row r="117" spans="1:10" customFormat="1" ht="45" customHeight="1" outlineLevel="1" x14ac:dyDescent="0.3">
      <c r="A117" s="19">
        <v>14</v>
      </c>
      <c r="B117" s="20" t="s">
        <v>73</v>
      </c>
      <c r="C117" s="21">
        <v>195</v>
      </c>
      <c r="D117" s="21" t="s">
        <v>20</v>
      </c>
      <c r="E117" s="20">
        <v>6.5</v>
      </c>
      <c r="F117" s="20">
        <f t="shared" ref="F117" si="27">E117*C117</f>
        <v>1267.5</v>
      </c>
      <c r="G117" s="22" t="s">
        <v>48</v>
      </c>
      <c r="H117" s="23" t="s">
        <v>49</v>
      </c>
    </row>
    <row r="118" spans="1:10" customFormat="1" ht="45" customHeight="1" outlineLevel="1" x14ac:dyDescent="0.3">
      <c r="A118" s="19">
        <v>15</v>
      </c>
      <c r="B118" s="20" t="s">
        <v>60</v>
      </c>
      <c r="C118" s="21">
        <v>105</v>
      </c>
      <c r="D118" s="21" t="s">
        <v>51</v>
      </c>
      <c r="E118" s="20">
        <v>3.3</v>
      </c>
      <c r="F118" s="20">
        <f t="shared" ref="F118:F120" si="28">E118*C118</f>
        <v>346.5</v>
      </c>
      <c r="G118" s="22" t="s">
        <v>48</v>
      </c>
      <c r="H118" s="23" t="s">
        <v>61</v>
      </c>
    </row>
    <row r="119" spans="1:10" customFormat="1" ht="45" customHeight="1" outlineLevel="1" x14ac:dyDescent="0.3">
      <c r="A119" s="19">
        <v>16</v>
      </c>
      <c r="B119" s="20" t="s">
        <v>74</v>
      </c>
      <c r="C119" s="21">
        <v>90</v>
      </c>
      <c r="D119" s="21" t="s">
        <v>51</v>
      </c>
      <c r="E119" s="20">
        <v>10</v>
      </c>
      <c r="F119" s="20">
        <f t="shared" si="28"/>
        <v>900</v>
      </c>
      <c r="G119" s="22" t="s">
        <v>52</v>
      </c>
      <c r="H119" s="23" t="s">
        <v>53</v>
      </c>
    </row>
    <row r="120" spans="1:10" customFormat="1" ht="45" customHeight="1" outlineLevel="1" x14ac:dyDescent="0.3">
      <c r="A120" s="19">
        <v>17</v>
      </c>
      <c r="B120" s="20" t="s">
        <v>75</v>
      </c>
      <c r="C120" s="21">
        <v>40</v>
      </c>
      <c r="D120" s="21" t="s">
        <v>51</v>
      </c>
      <c r="E120" s="20">
        <v>12</v>
      </c>
      <c r="F120" s="20">
        <f t="shared" si="28"/>
        <v>480</v>
      </c>
      <c r="G120" s="22" t="s">
        <v>52</v>
      </c>
      <c r="H120" s="23" t="s">
        <v>53</v>
      </c>
    </row>
    <row r="121" spans="1:10" customFormat="1" ht="45" customHeight="1" outlineLevel="1" x14ac:dyDescent="0.3">
      <c r="A121" s="19">
        <v>18</v>
      </c>
      <c r="B121" s="20" t="s">
        <v>89</v>
      </c>
      <c r="C121" s="21">
        <v>2600</v>
      </c>
      <c r="D121" s="21" t="s">
        <v>64</v>
      </c>
      <c r="E121" s="20">
        <v>1</v>
      </c>
      <c r="F121" s="20">
        <f t="shared" ref="F121" si="29">E121*C121</f>
        <v>2600</v>
      </c>
      <c r="G121" s="22" t="s">
        <v>52</v>
      </c>
      <c r="H121" s="23" t="s">
        <v>53</v>
      </c>
    </row>
    <row r="122" spans="1:10" customFormat="1" ht="45" customHeight="1" outlineLevel="1" x14ac:dyDescent="0.3">
      <c r="A122" s="19">
        <v>19</v>
      </c>
      <c r="B122" s="20" t="s">
        <v>67</v>
      </c>
      <c r="C122" s="21">
        <v>40</v>
      </c>
      <c r="D122" s="21" t="s">
        <v>51</v>
      </c>
      <c r="E122" s="20">
        <v>36</v>
      </c>
      <c r="F122" s="20">
        <f t="shared" ref="F122:F124" si="30">E122*C122</f>
        <v>1440</v>
      </c>
      <c r="G122" s="22" t="s">
        <v>52</v>
      </c>
      <c r="H122" s="23" t="s">
        <v>53</v>
      </c>
    </row>
    <row r="123" spans="1:10" customFormat="1" ht="45" customHeight="1" outlineLevel="1" x14ac:dyDescent="0.3">
      <c r="A123" s="19">
        <v>20</v>
      </c>
      <c r="B123" s="20" t="s">
        <v>68</v>
      </c>
      <c r="C123" s="21">
        <v>100</v>
      </c>
      <c r="D123" s="21" t="s">
        <v>64</v>
      </c>
      <c r="E123" s="20">
        <v>12</v>
      </c>
      <c r="F123" s="20">
        <f t="shared" si="30"/>
        <v>1200</v>
      </c>
      <c r="G123" s="22" t="s">
        <v>52</v>
      </c>
      <c r="H123" s="23" t="s">
        <v>53</v>
      </c>
    </row>
    <row r="124" spans="1:10" customFormat="1" ht="45" customHeight="1" outlineLevel="1" x14ac:dyDescent="0.3">
      <c r="A124" s="19">
        <v>21</v>
      </c>
      <c r="B124" s="20" t="s">
        <v>69</v>
      </c>
      <c r="C124" s="21">
        <v>35</v>
      </c>
      <c r="D124" s="21" t="s">
        <v>51</v>
      </c>
      <c r="E124" s="20">
        <v>34.5</v>
      </c>
      <c r="F124" s="20">
        <f t="shared" si="30"/>
        <v>1207.5</v>
      </c>
      <c r="G124" s="22" t="s">
        <v>52</v>
      </c>
      <c r="H124" s="23" t="s">
        <v>53</v>
      </c>
    </row>
    <row r="125" spans="1:10" customFormat="1" ht="45" customHeight="1" outlineLevel="1" x14ac:dyDescent="0.3">
      <c r="A125" s="19">
        <v>22</v>
      </c>
      <c r="B125" s="20" t="s">
        <v>90</v>
      </c>
      <c r="C125" s="21">
        <v>480</v>
      </c>
      <c r="D125" s="21" t="s">
        <v>64</v>
      </c>
      <c r="E125" s="20">
        <v>1</v>
      </c>
      <c r="F125" s="20">
        <f t="shared" ref="F125" si="31">E125*C125</f>
        <v>480</v>
      </c>
      <c r="G125" s="22" t="s">
        <v>52</v>
      </c>
      <c r="H125" s="23" t="s">
        <v>53</v>
      </c>
    </row>
    <row r="126" spans="1:10" customFormat="1" ht="45" customHeight="1" outlineLevel="1" x14ac:dyDescent="0.3">
      <c r="A126" s="19">
        <v>23</v>
      </c>
      <c r="B126" s="20" t="s">
        <v>91</v>
      </c>
      <c r="C126" s="21">
        <v>4200</v>
      </c>
      <c r="D126" s="21" t="s">
        <v>92</v>
      </c>
      <c r="E126" s="20">
        <v>1</v>
      </c>
      <c r="F126" s="20">
        <f t="shared" ref="F126" si="32">E126*C126</f>
        <v>4200</v>
      </c>
      <c r="G126" s="22" t="s">
        <v>52</v>
      </c>
      <c r="H126" s="23" t="s">
        <v>53</v>
      </c>
    </row>
    <row r="127" spans="1:10" ht="16.5" customHeight="1" x14ac:dyDescent="0.3">
      <c r="A127" s="60"/>
      <c r="B127" s="60"/>
      <c r="C127" s="60"/>
      <c r="D127" s="60"/>
      <c r="E127" s="60"/>
      <c r="F127" s="60"/>
      <c r="G127" s="60"/>
      <c r="H127" s="60"/>
    </row>
    <row r="128" spans="1:10" ht="15" customHeight="1" x14ac:dyDescent="0.3">
      <c r="A128" s="61" t="s">
        <v>93</v>
      </c>
      <c r="B128" s="61"/>
      <c r="C128" s="61"/>
      <c r="D128" s="61"/>
      <c r="E128" s="61"/>
      <c r="F128" s="62"/>
      <c r="G128" s="63">
        <f>SUM(F130:F147)</f>
        <v>14145.5</v>
      </c>
      <c r="H128" s="64"/>
    </row>
    <row r="129" spans="1:10" ht="15" customHeight="1" x14ac:dyDescent="0.3">
      <c r="A129" s="16" t="s">
        <v>11</v>
      </c>
      <c r="B129" s="17" t="s">
        <v>12</v>
      </c>
      <c r="C129" s="17" t="s">
        <v>13</v>
      </c>
      <c r="D129" s="17" t="s">
        <v>14</v>
      </c>
      <c r="E129" s="17" t="s">
        <v>15</v>
      </c>
      <c r="F129" s="17" t="s">
        <v>16</v>
      </c>
      <c r="G129" s="17" t="s">
        <v>17</v>
      </c>
      <c r="H129" s="18" t="s">
        <v>18</v>
      </c>
    </row>
    <row r="130" spans="1:10" customFormat="1" ht="45" customHeight="1" outlineLevel="1" x14ac:dyDescent="0.3">
      <c r="A130" s="19">
        <v>1</v>
      </c>
      <c r="B130" s="20" t="s">
        <v>19</v>
      </c>
      <c r="C130" s="21">
        <v>3</v>
      </c>
      <c r="D130" s="21" t="s">
        <v>20</v>
      </c>
      <c r="E130" s="20">
        <v>18</v>
      </c>
      <c r="F130" s="20">
        <f t="shared" ref="F130:F140" si="33">E130*C130</f>
        <v>54</v>
      </c>
      <c r="G130" s="22" t="s">
        <v>21</v>
      </c>
      <c r="H130" s="23" t="s">
        <v>22</v>
      </c>
      <c r="I130" s="24"/>
      <c r="J130" s="24"/>
    </row>
    <row r="131" spans="1:10" customFormat="1" ht="45" customHeight="1" outlineLevel="1" x14ac:dyDescent="0.3">
      <c r="A131" s="19">
        <v>2</v>
      </c>
      <c r="B131" s="20" t="s">
        <v>23</v>
      </c>
      <c r="C131" s="21">
        <v>20</v>
      </c>
      <c r="D131" s="21" t="s">
        <v>20</v>
      </c>
      <c r="E131" s="20">
        <f>E130</f>
        <v>18</v>
      </c>
      <c r="F131" s="20">
        <f t="shared" si="33"/>
        <v>360</v>
      </c>
      <c r="G131" s="22" t="s">
        <v>24</v>
      </c>
      <c r="H131" s="23" t="s">
        <v>25</v>
      </c>
      <c r="I131" s="24"/>
      <c r="J131" s="24"/>
    </row>
    <row r="132" spans="1:10" customFormat="1" ht="45" customHeight="1" outlineLevel="1" x14ac:dyDescent="0.3">
      <c r="A132" s="19">
        <v>3</v>
      </c>
      <c r="B132" s="20" t="s">
        <v>26</v>
      </c>
      <c r="C132" s="21">
        <v>5</v>
      </c>
      <c r="D132" s="21" t="s">
        <v>20</v>
      </c>
      <c r="E132" s="20">
        <f>E130</f>
        <v>18</v>
      </c>
      <c r="F132" s="20">
        <f t="shared" si="33"/>
        <v>90</v>
      </c>
      <c r="G132" s="22" t="s">
        <v>27</v>
      </c>
      <c r="H132" s="23" t="s">
        <v>28</v>
      </c>
      <c r="I132" s="24"/>
      <c r="J132" s="24"/>
    </row>
    <row r="133" spans="1:10" customFormat="1" ht="60" customHeight="1" outlineLevel="1" x14ac:dyDescent="0.3">
      <c r="A133" s="19">
        <v>4</v>
      </c>
      <c r="B133" s="20" t="s">
        <v>29</v>
      </c>
      <c r="C133" s="21">
        <v>75</v>
      </c>
      <c r="D133" s="21" t="s">
        <v>20</v>
      </c>
      <c r="E133" s="20">
        <v>10</v>
      </c>
      <c r="F133" s="20">
        <f t="shared" ref="F133" si="34">E133*C133</f>
        <v>750</v>
      </c>
      <c r="G133" s="22" t="s">
        <v>30</v>
      </c>
      <c r="H133" s="23" t="s">
        <v>57</v>
      </c>
      <c r="I133" s="24"/>
      <c r="J133" s="24"/>
    </row>
    <row r="134" spans="1:10" customFormat="1" ht="45" customHeight="1" outlineLevel="1" x14ac:dyDescent="0.3">
      <c r="A134" s="19">
        <v>5</v>
      </c>
      <c r="B134" s="20" t="s">
        <v>32</v>
      </c>
      <c r="C134" s="21">
        <v>15</v>
      </c>
      <c r="D134" s="21" t="s">
        <v>20</v>
      </c>
      <c r="E134" s="20">
        <f>E130</f>
        <v>18</v>
      </c>
      <c r="F134" s="20">
        <f t="shared" si="33"/>
        <v>270</v>
      </c>
      <c r="G134" s="22" t="s">
        <v>33</v>
      </c>
      <c r="H134" s="23" t="s">
        <v>34</v>
      </c>
      <c r="I134" s="24"/>
      <c r="J134" s="24"/>
    </row>
    <row r="135" spans="1:10" customFormat="1" ht="45" customHeight="1" outlineLevel="1" x14ac:dyDescent="0.3">
      <c r="A135" s="19">
        <v>6</v>
      </c>
      <c r="B135" s="20" t="s">
        <v>35</v>
      </c>
      <c r="C135" s="21">
        <v>15</v>
      </c>
      <c r="D135" s="21" t="s">
        <v>20</v>
      </c>
      <c r="E135" s="20">
        <f>E130</f>
        <v>18</v>
      </c>
      <c r="F135" s="20">
        <f t="shared" si="33"/>
        <v>270</v>
      </c>
      <c r="G135" s="22" t="s">
        <v>33</v>
      </c>
      <c r="H135" s="23" t="s">
        <v>36</v>
      </c>
      <c r="I135" s="24"/>
      <c r="J135" s="24"/>
    </row>
    <row r="136" spans="1:10" customFormat="1" ht="45" customHeight="1" outlineLevel="1" x14ac:dyDescent="0.3">
      <c r="A136" s="19">
        <v>7</v>
      </c>
      <c r="B136" s="20" t="s">
        <v>37</v>
      </c>
      <c r="C136" s="21">
        <v>3</v>
      </c>
      <c r="D136" s="21" t="s">
        <v>20</v>
      </c>
      <c r="E136" s="20">
        <v>43</v>
      </c>
      <c r="F136" s="20">
        <f t="shared" si="33"/>
        <v>129</v>
      </c>
      <c r="G136" s="22" t="s">
        <v>21</v>
      </c>
      <c r="H136" s="23" t="s">
        <v>38</v>
      </c>
      <c r="I136" s="24"/>
      <c r="J136" s="24"/>
    </row>
    <row r="137" spans="1:10" customFormat="1" ht="60" customHeight="1" outlineLevel="1" x14ac:dyDescent="0.3">
      <c r="A137" s="19">
        <v>8</v>
      </c>
      <c r="B137" s="20" t="s">
        <v>39</v>
      </c>
      <c r="C137" s="21">
        <v>75</v>
      </c>
      <c r="D137" s="21" t="s">
        <v>20</v>
      </c>
      <c r="E137" s="20">
        <v>43</v>
      </c>
      <c r="F137" s="20">
        <f t="shared" si="33"/>
        <v>3225</v>
      </c>
      <c r="G137" s="22" t="s">
        <v>30</v>
      </c>
      <c r="H137" s="23" t="s">
        <v>57</v>
      </c>
      <c r="I137" s="24"/>
      <c r="J137" s="24"/>
    </row>
    <row r="138" spans="1:10" customFormat="1" ht="45" customHeight="1" outlineLevel="1" x14ac:dyDescent="0.3">
      <c r="A138" s="19">
        <v>9</v>
      </c>
      <c r="B138" s="20" t="s">
        <v>40</v>
      </c>
      <c r="C138" s="21">
        <v>20</v>
      </c>
      <c r="D138" s="21" t="s">
        <v>20</v>
      </c>
      <c r="E138" s="20">
        <f>E136</f>
        <v>43</v>
      </c>
      <c r="F138" s="20">
        <f t="shared" si="33"/>
        <v>860</v>
      </c>
      <c r="G138" s="22" t="s">
        <v>24</v>
      </c>
      <c r="H138" s="23" t="s">
        <v>25</v>
      </c>
      <c r="I138" s="24"/>
      <c r="J138" s="24"/>
    </row>
    <row r="139" spans="1:10" customFormat="1" ht="45" customHeight="1" outlineLevel="1" x14ac:dyDescent="0.3">
      <c r="A139" s="19">
        <v>10</v>
      </c>
      <c r="B139" s="20" t="s">
        <v>41</v>
      </c>
      <c r="C139" s="21">
        <v>5</v>
      </c>
      <c r="D139" s="21" t="s">
        <v>20</v>
      </c>
      <c r="E139" s="20">
        <f>E138</f>
        <v>43</v>
      </c>
      <c r="F139" s="20">
        <f t="shared" si="33"/>
        <v>215</v>
      </c>
      <c r="G139" s="22" t="s">
        <v>27</v>
      </c>
      <c r="H139" s="23" t="s">
        <v>28</v>
      </c>
      <c r="I139" s="24"/>
      <c r="J139" s="24"/>
    </row>
    <row r="140" spans="1:10" customFormat="1" ht="45" customHeight="1" outlineLevel="1" x14ac:dyDescent="0.3">
      <c r="A140" s="19">
        <v>11</v>
      </c>
      <c r="B140" s="20" t="s">
        <v>42</v>
      </c>
      <c r="C140" s="21">
        <v>15</v>
      </c>
      <c r="D140" s="21" t="s">
        <v>20</v>
      </c>
      <c r="E140" s="20">
        <f>E136</f>
        <v>43</v>
      </c>
      <c r="F140" s="20">
        <f t="shared" si="33"/>
        <v>645</v>
      </c>
      <c r="G140" s="22" t="s">
        <v>33</v>
      </c>
      <c r="H140" s="23" t="s">
        <v>34</v>
      </c>
      <c r="I140" s="24"/>
      <c r="J140" s="24"/>
    </row>
    <row r="141" spans="1:10" customFormat="1" ht="45" customHeight="1" outlineLevel="1" x14ac:dyDescent="0.3">
      <c r="A141" s="19">
        <v>12</v>
      </c>
      <c r="B141" s="20" t="s">
        <v>43</v>
      </c>
      <c r="C141" s="21">
        <v>15</v>
      </c>
      <c r="D141" s="21" t="s">
        <v>20</v>
      </c>
      <c r="E141" s="20">
        <f>E137</f>
        <v>43</v>
      </c>
      <c r="F141" s="20">
        <f t="shared" ref="F141:F142" si="35">E141*C141</f>
        <v>645</v>
      </c>
      <c r="G141" s="22" t="s">
        <v>33</v>
      </c>
      <c r="H141" s="23" t="s">
        <v>36</v>
      </c>
      <c r="I141" s="24"/>
      <c r="J141" s="24"/>
    </row>
    <row r="142" spans="1:10" customFormat="1" ht="60" customHeight="1" outlineLevel="1" x14ac:dyDescent="0.3">
      <c r="A142" s="19">
        <v>13</v>
      </c>
      <c r="B142" s="20" t="s">
        <v>44</v>
      </c>
      <c r="C142" s="21">
        <v>150</v>
      </c>
      <c r="D142" s="21" t="s">
        <v>20</v>
      </c>
      <c r="E142" s="20">
        <v>15</v>
      </c>
      <c r="F142" s="20">
        <f t="shared" si="35"/>
        <v>2250</v>
      </c>
      <c r="G142" s="22" t="s">
        <v>45</v>
      </c>
      <c r="H142" s="23" t="s">
        <v>46</v>
      </c>
    </row>
    <row r="143" spans="1:10" customFormat="1" ht="45" customHeight="1" outlineLevel="1" x14ac:dyDescent="0.3">
      <c r="A143" s="19">
        <v>14</v>
      </c>
      <c r="B143" s="20" t="s">
        <v>73</v>
      </c>
      <c r="C143" s="21">
        <v>195</v>
      </c>
      <c r="D143" s="21" t="s">
        <v>20</v>
      </c>
      <c r="E143" s="20">
        <v>9</v>
      </c>
      <c r="F143" s="20">
        <f t="shared" ref="F143:F147" si="36">E143*C143</f>
        <v>1755</v>
      </c>
      <c r="G143" s="22" t="s">
        <v>48</v>
      </c>
      <c r="H143" s="23" t="s">
        <v>49</v>
      </c>
    </row>
    <row r="144" spans="1:10" customFormat="1" ht="45" customHeight="1" outlineLevel="1" x14ac:dyDescent="0.3">
      <c r="A144" s="19">
        <v>15</v>
      </c>
      <c r="B144" s="20" t="s">
        <v>60</v>
      </c>
      <c r="C144" s="21">
        <v>105</v>
      </c>
      <c r="D144" s="21" t="s">
        <v>51</v>
      </c>
      <c r="E144" s="20">
        <v>3.7</v>
      </c>
      <c r="F144" s="20">
        <f t="shared" si="36"/>
        <v>388.5</v>
      </c>
      <c r="G144" s="22" t="s">
        <v>48</v>
      </c>
      <c r="H144" s="23" t="s">
        <v>61</v>
      </c>
    </row>
    <row r="145" spans="1:10" customFormat="1" ht="45" customHeight="1" outlineLevel="1" x14ac:dyDescent="0.3">
      <c r="A145" s="19">
        <v>16</v>
      </c>
      <c r="B145" s="20" t="s">
        <v>50</v>
      </c>
      <c r="C145" s="21">
        <v>65</v>
      </c>
      <c r="D145" s="21" t="s">
        <v>51</v>
      </c>
      <c r="E145" s="20">
        <v>15</v>
      </c>
      <c r="F145" s="20">
        <f t="shared" si="36"/>
        <v>975</v>
      </c>
      <c r="G145" s="22" t="s">
        <v>52</v>
      </c>
      <c r="H145" s="23" t="s">
        <v>53</v>
      </c>
    </row>
    <row r="146" spans="1:10" customFormat="1" ht="45" customHeight="1" outlineLevel="1" x14ac:dyDescent="0.3">
      <c r="A146" s="19">
        <v>17</v>
      </c>
      <c r="B146" s="20" t="s">
        <v>75</v>
      </c>
      <c r="C146" s="21">
        <v>40</v>
      </c>
      <c r="D146" s="21" t="s">
        <v>51</v>
      </c>
      <c r="E146" s="20">
        <v>11.6</v>
      </c>
      <c r="F146" s="20">
        <f t="shared" si="36"/>
        <v>464</v>
      </c>
      <c r="G146" s="22" t="s">
        <v>52</v>
      </c>
      <c r="H146" s="23" t="s">
        <v>53</v>
      </c>
    </row>
    <row r="147" spans="1:10" customFormat="1" ht="45" customHeight="1" outlineLevel="1" x14ac:dyDescent="0.3">
      <c r="A147" s="19">
        <v>18</v>
      </c>
      <c r="B147" s="20" t="s">
        <v>94</v>
      </c>
      <c r="C147" s="21">
        <v>800</v>
      </c>
      <c r="D147" s="21" t="s">
        <v>64</v>
      </c>
      <c r="E147" s="20">
        <v>1</v>
      </c>
      <c r="F147" s="20">
        <f t="shared" si="36"/>
        <v>800</v>
      </c>
      <c r="G147" s="22" t="s">
        <v>52</v>
      </c>
      <c r="H147" s="23" t="s">
        <v>53</v>
      </c>
    </row>
    <row r="148" spans="1:10" x14ac:dyDescent="0.3">
      <c r="A148" s="60"/>
      <c r="B148" s="60"/>
      <c r="C148" s="60"/>
      <c r="D148" s="60"/>
      <c r="E148" s="60"/>
      <c r="F148" s="60"/>
      <c r="G148" s="60"/>
      <c r="H148" s="60"/>
    </row>
    <row r="149" spans="1:10" ht="15" customHeight="1" x14ac:dyDescent="0.3">
      <c r="A149" s="61" t="s">
        <v>95</v>
      </c>
      <c r="B149" s="61"/>
      <c r="C149" s="61"/>
      <c r="D149" s="61"/>
      <c r="E149" s="61"/>
      <c r="F149" s="62"/>
      <c r="G149" s="63">
        <f>SUM(F151:F158)</f>
        <v>9507.7000000000007</v>
      </c>
      <c r="H149" s="64"/>
    </row>
    <row r="150" spans="1:10" ht="15" customHeight="1" x14ac:dyDescent="0.3">
      <c r="A150" s="16" t="s">
        <v>11</v>
      </c>
      <c r="B150" s="17" t="s">
        <v>12</v>
      </c>
      <c r="C150" s="17" t="s">
        <v>13</v>
      </c>
      <c r="D150" s="17" t="s">
        <v>14</v>
      </c>
      <c r="E150" s="17" t="s">
        <v>15</v>
      </c>
      <c r="F150" s="17" t="s">
        <v>16</v>
      </c>
      <c r="G150" s="17" t="s">
        <v>17</v>
      </c>
      <c r="H150" s="18" t="s">
        <v>18</v>
      </c>
    </row>
    <row r="151" spans="1:10" customFormat="1" ht="75" customHeight="1" outlineLevel="1" x14ac:dyDescent="0.3">
      <c r="A151" s="19">
        <v>1</v>
      </c>
      <c r="B151" s="20" t="s">
        <v>96</v>
      </c>
      <c r="C151" s="21">
        <v>90</v>
      </c>
      <c r="D151" s="21" t="s">
        <v>20</v>
      </c>
      <c r="E151" s="20">
        <v>25</v>
      </c>
      <c r="F151" s="20">
        <f t="shared" ref="F151" si="37">E151*C151</f>
        <v>2250</v>
      </c>
      <c r="G151" s="22" t="s">
        <v>97</v>
      </c>
      <c r="H151" s="23" t="s">
        <v>98</v>
      </c>
      <c r="I151" s="24"/>
      <c r="J151" s="24"/>
    </row>
    <row r="152" spans="1:10" customFormat="1" ht="75" customHeight="1" outlineLevel="1" x14ac:dyDescent="0.3">
      <c r="A152" s="19">
        <v>2</v>
      </c>
      <c r="B152" s="20" t="s">
        <v>99</v>
      </c>
      <c r="C152" s="21">
        <v>90</v>
      </c>
      <c r="D152" s="21" t="s">
        <v>20</v>
      </c>
      <c r="E152" s="20">
        <v>6.5</v>
      </c>
      <c r="F152" s="20">
        <f t="shared" ref="F152:F158" si="38">E152*C152</f>
        <v>585</v>
      </c>
      <c r="G152" s="22" t="s">
        <v>97</v>
      </c>
      <c r="H152" s="23" t="s">
        <v>98</v>
      </c>
      <c r="I152" s="24"/>
      <c r="J152" s="24"/>
    </row>
    <row r="153" spans="1:10" customFormat="1" ht="45" customHeight="1" outlineLevel="1" x14ac:dyDescent="0.3">
      <c r="A153" s="19">
        <v>3</v>
      </c>
      <c r="B153" s="20" t="s">
        <v>79</v>
      </c>
      <c r="C153" s="21">
        <v>120</v>
      </c>
      <c r="D153" s="21" t="s">
        <v>51</v>
      </c>
      <c r="E153" s="20">
        <v>3.1</v>
      </c>
      <c r="F153" s="20">
        <f t="shared" si="38"/>
        <v>372</v>
      </c>
      <c r="G153" s="22" t="s">
        <v>80</v>
      </c>
      <c r="H153" s="23" t="s">
        <v>81</v>
      </c>
      <c r="I153" s="24"/>
      <c r="J153" s="24"/>
    </row>
    <row r="154" spans="1:10" customFormat="1" ht="90" customHeight="1" outlineLevel="1" x14ac:dyDescent="0.3">
      <c r="A154" s="19">
        <v>4</v>
      </c>
      <c r="B154" s="20" t="s">
        <v>100</v>
      </c>
      <c r="C154" s="21">
        <v>180</v>
      </c>
      <c r="D154" s="21" t="s">
        <v>20</v>
      </c>
      <c r="E154" s="20">
        <v>15</v>
      </c>
      <c r="F154" s="20">
        <f t="shared" si="38"/>
        <v>2700</v>
      </c>
      <c r="G154" s="22" t="s">
        <v>101</v>
      </c>
      <c r="H154" s="23" t="s">
        <v>102</v>
      </c>
      <c r="I154" s="24"/>
      <c r="J154" s="24"/>
    </row>
    <row r="155" spans="1:10" customFormat="1" ht="105" customHeight="1" outlineLevel="1" x14ac:dyDescent="0.3">
      <c r="A155" s="19">
        <v>5</v>
      </c>
      <c r="B155" s="20" t="s">
        <v>103</v>
      </c>
      <c r="C155" s="21">
        <v>255</v>
      </c>
      <c r="D155" s="21" t="s">
        <v>20</v>
      </c>
      <c r="E155" s="20">
        <v>6.5</v>
      </c>
      <c r="F155" s="20">
        <f t="shared" si="38"/>
        <v>1657.5</v>
      </c>
      <c r="G155" s="22" t="s">
        <v>104</v>
      </c>
      <c r="H155" s="23" t="s">
        <v>105</v>
      </c>
      <c r="I155" s="24"/>
      <c r="J155" s="24"/>
    </row>
    <row r="156" spans="1:10" customFormat="1" ht="45" customHeight="1" outlineLevel="1" x14ac:dyDescent="0.3">
      <c r="A156" s="19">
        <v>6</v>
      </c>
      <c r="B156" s="20" t="s">
        <v>76</v>
      </c>
      <c r="C156" s="21">
        <v>85</v>
      </c>
      <c r="D156" s="21" t="s">
        <v>51</v>
      </c>
      <c r="E156" s="20">
        <v>9</v>
      </c>
      <c r="F156" s="20">
        <f t="shared" si="38"/>
        <v>765</v>
      </c>
      <c r="G156" s="22" t="s">
        <v>77</v>
      </c>
      <c r="H156" s="23" t="s">
        <v>78</v>
      </c>
      <c r="I156" s="24"/>
      <c r="J156" s="24"/>
    </row>
    <row r="157" spans="1:10" customFormat="1" ht="45" customHeight="1" outlineLevel="1" x14ac:dyDescent="0.3">
      <c r="A157" s="19">
        <v>7</v>
      </c>
      <c r="B157" s="20" t="s">
        <v>106</v>
      </c>
      <c r="C157" s="21">
        <v>122</v>
      </c>
      <c r="D157" s="21" t="s">
        <v>51</v>
      </c>
      <c r="E157" s="20">
        <v>3.1</v>
      </c>
      <c r="F157" s="20">
        <f t="shared" si="38"/>
        <v>378.2</v>
      </c>
      <c r="G157" s="22" t="s">
        <v>107</v>
      </c>
      <c r="H157" s="23" t="s">
        <v>108</v>
      </c>
      <c r="I157" s="24"/>
      <c r="J157" s="24"/>
    </row>
    <row r="158" spans="1:10" customFormat="1" ht="45" customHeight="1" outlineLevel="1" x14ac:dyDescent="0.3">
      <c r="A158" s="19">
        <v>8</v>
      </c>
      <c r="B158" s="20" t="s">
        <v>82</v>
      </c>
      <c r="C158" s="21">
        <v>80</v>
      </c>
      <c r="D158" s="21" t="s">
        <v>51</v>
      </c>
      <c r="E158" s="20">
        <v>10</v>
      </c>
      <c r="F158" s="20">
        <f t="shared" si="38"/>
        <v>800</v>
      </c>
      <c r="G158" s="22" t="s">
        <v>83</v>
      </c>
      <c r="H158" s="23" t="s">
        <v>84</v>
      </c>
      <c r="J158" s="24"/>
    </row>
    <row r="159" spans="1:10" x14ac:dyDescent="0.3">
      <c r="A159" s="60"/>
      <c r="B159" s="60"/>
      <c r="C159" s="60"/>
      <c r="D159" s="60"/>
      <c r="E159" s="60"/>
      <c r="F159" s="60"/>
      <c r="G159" s="60"/>
      <c r="H159" s="60"/>
    </row>
    <row r="160" spans="1:10" ht="15" customHeight="1" x14ac:dyDescent="0.3">
      <c r="A160" s="61" t="s">
        <v>109</v>
      </c>
      <c r="B160" s="61"/>
      <c r="C160" s="61"/>
      <c r="D160" s="61"/>
      <c r="E160" s="61"/>
      <c r="F160" s="62"/>
      <c r="G160" s="63">
        <f>SUM(F162:F169)</f>
        <v>8070.2</v>
      </c>
      <c r="H160" s="64"/>
    </row>
    <row r="161" spans="1:10" ht="15" customHeight="1" x14ac:dyDescent="0.3">
      <c r="A161" s="16" t="s">
        <v>11</v>
      </c>
      <c r="B161" s="17" t="s">
        <v>12</v>
      </c>
      <c r="C161" s="17" t="s">
        <v>13</v>
      </c>
      <c r="D161" s="17" t="s">
        <v>14</v>
      </c>
      <c r="E161" s="17" t="s">
        <v>15</v>
      </c>
      <c r="F161" s="17" t="s">
        <v>16</v>
      </c>
      <c r="G161" s="17" t="s">
        <v>17</v>
      </c>
      <c r="H161" s="18" t="s">
        <v>18</v>
      </c>
    </row>
    <row r="162" spans="1:10" customFormat="1" ht="75" customHeight="1" outlineLevel="1" x14ac:dyDescent="0.3">
      <c r="A162" s="19">
        <v>1</v>
      </c>
      <c r="B162" s="20" t="s">
        <v>110</v>
      </c>
      <c r="C162" s="21">
        <v>115</v>
      </c>
      <c r="D162" s="21" t="s">
        <v>20</v>
      </c>
      <c r="E162" s="20">
        <v>20</v>
      </c>
      <c r="F162" s="20">
        <f t="shared" ref="F162:F169" si="39">E162*C162</f>
        <v>2300</v>
      </c>
      <c r="G162" s="22" t="s">
        <v>97</v>
      </c>
      <c r="H162" s="23" t="s">
        <v>98</v>
      </c>
      <c r="I162" s="24"/>
      <c r="J162" s="24"/>
    </row>
    <row r="163" spans="1:10" customFormat="1" ht="75" customHeight="1" outlineLevel="1" x14ac:dyDescent="0.3">
      <c r="A163" s="19">
        <v>2</v>
      </c>
      <c r="B163" s="20" t="s">
        <v>111</v>
      </c>
      <c r="C163" s="21">
        <v>115</v>
      </c>
      <c r="D163" s="21" t="s">
        <v>20</v>
      </c>
      <c r="E163" s="20">
        <v>3.5</v>
      </c>
      <c r="F163" s="20">
        <f t="shared" si="39"/>
        <v>402.5</v>
      </c>
      <c r="G163" s="22" t="s">
        <v>97</v>
      </c>
      <c r="H163" s="23" t="s">
        <v>98</v>
      </c>
      <c r="I163" s="24"/>
      <c r="J163" s="24"/>
    </row>
    <row r="164" spans="1:10" customFormat="1" ht="45" customHeight="1" outlineLevel="1" x14ac:dyDescent="0.3">
      <c r="A164" s="19">
        <v>3</v>
      </c>
      <c r="B164" s="20" t="s">
        <v>79</v>
      </c>
      <c r="C164" s="21">
        <v>120</v>
      </c>
      <c r="D164" s="21" t="s">
        <v>51</v>
      </c>
      <c r="E164" s="20">
        <v>3.1</v>
      </c>
      <c r="F164" s="20">
        <f t="shared" si="39"/>
        <v>372</v>
      </c>
      <c r="G164" s="22" t="s">
        <v>80</v>
      </c>
      <c r="H164" s="23" t="s">
        <v>81</v>
      </c>
      <c r="I164" s="24"/>
      <c r="J164" s="24"/>
    </row>
    <row r="165" spans="1:10" customFormat="1" ht="90" customHeight="1" outlineLevel="1" x14ac:dyDescent="0.3">
      <c r="A165" s="19">
        <v>4</v>
      </c>
      <c r="B165" s="20" t="s">
        <v>100</v>
      </c>
      <c r="C165" s="21">
        <v>180</v>
      </c>
      <c r="D165" s="21" t="s">
        <v>20</v>
      </c>
      <c r="E165" s="20">
        <v>12</v>
      </c>
      <c r="F165" s="20">
        <f t="shared" si="39"/>
        <v>2160</v>
      </c>
      <c r="G165" s="22" t="s">
        <v>101</v>
      </c>
      <c r="H165" s="23" t="s">
        <v>102</v>
      </c>
      <c r="I165" s="24"/>
      <c r="J165" s="24"/>
    </row>
    <row r="166" spans="1:10" customFormat="1" ht="105" customHeight="1" outlineLevel="1" x14ac:dyDescent="0.3">
      <c r="A166" s="19">
        <v>5</v>
      </c>
      <c r="B166" s="20" t="s">
        <v>103</v>
      </c>
      <c r="C166" s="21">
        <v>255</v>
      </c>
      <c r="D166" s="21" t="s">
        <v>20</v>
      </c>
      <c r="E166" s="20">
        <v>3.5</v>
      </c>
      <c r="F166" s="20">
        <f t="shared" si="39"/>
        <v>892.5</v>
      </c>
      <c r="G166" s="22" t="s">
        <v>104</v>
      </c>
      <c r="H166" s="23" t="s">
        <v>105</v>
      </c>
      <c r="I166" s="24"/>
      <c r="J166" s="24"/>
    </row>
    <row r="167" spans="1:10" customFormat="1" ht="45" customHeight="1" outlineLevel="1" x14ac:dyDescent="0.3">
      <c r="A167" s="19">
        <v>6</v>
      </c>
      <c r="B167" s="20" t="s">
        <v>76</v>
      </c>
      <c r="C167" s="21">
        <v>85</v>
      </c>
      <c r="D167" s="21" t="s">
        <v>51</v>
      </c>
      <c r="E167" s="20">
        <v>9</v>
      </c>
      <c r="F167" s="20">
        <f t="shared" si="39"/>
        <v>765</v>
      </c>
      <c r="G167" s="22" t="s">
        <v>77</v>
      </c>
      <c r="H167" s="23" t="s">
        <v>78</v>
      </c>
      <c r="I167" s="24"/>
      <c r="J167" s="24"/>
    </row>
    <row r="168" spans="1:10" customFormat="1" ht="45" customHeight="1" outlineLevel="1" x14ac:dyDescent="0.3">
      <c r="A168" s="19">
        <v>7</v>
      </c>
      <c r="B168" s="20" t="s">
        <v>106</v>
      </c>
      <c r="C168" s="21">
        <v>122</v>
      </c>
      <c r="D168" s="21" t="s">
        <v>51</v>
      </c>
      <c r="E168" s="20">
        <v>3.1</v>
      </c>
      <c r="F168" s="20">
        <f t="shared" si="39"/>
        <v>378.2</v>
      </c>
      <c r="G168" s="22" t="s">
        <v>107</v>
      </c>
      <c r="H168" s="23" t="s">
        <v>108</v>
      </c>
      <c r="I168" s="24"/>
      <c r="J168" s="24"/>
    </row>
    <row r="169" spans="1:10" customFormat="1" ht="45" customHeight="1" outlineLevel="1" x14ac:dyDescent="0.3">
      <c r="A169" s="19">
        <v>8</v>
      </c>
      <c r="B169" s="20" t="s">
        <v>82</v>
      </c>
      <c r="C169" s="21">
        <v>80</v>
      </c>
      <c r="D169" s="21" t="s">
        <v>51</v>
      </c>
      <c r="E169" s="20">
        <v>10</v>
      </c>
      <c r="F169" s="20">
        <f t="shared" si="39"/>
        <v>800</v>
      </c>
      <c r="G169" s="22" t="s">
        <v>83</v>
      </c>
      <c r="H169" s="23" t="s">
        <v>84</v>
      </c>
      <c r="I169" s="24"/>
      <c r="J169" s="24"/>
    </row>
    <row r="170" spans="1:10" x14ac:dyDescent="0.3">
      <c r="A170" s="60"/>
      <c r="B170" s="60"/>
      <c r="C170" s="60"/>
      <c r="D170" s="60"/>
      <c r="E170" s="60"/>
      <c r="F170" s="60"/>
      <c r="G170" s="60"/>
      <c r="H170" s="60"/>
    </row>
    <row r="171" spans="1:10" ht="15" customHeight="1" x14ac:dyDescent="0.3">
      <c r="A171" s="61" t="s">
        <v>112</v>
      </c>
      <c r="B171" s="61"/>
      <c r="C171" s="61"/>
      <c r="D171" s="61"/>
      <c r="E171" s="61"/>
      <c r="F171" s="62"/>
      <c r="G171" s="63">
        <f>SUM(F173:F180)</f>
        <v>7280.2</v>
      </c>
      <c r="H171" s="64"/>
    </row>
    <row r="172" spans="1:10" ht="15" customHeight="1" x14ac:dyDescent="0.3">
      <c r="A172" s="16" t="s">
        <v>11</v>
      </c>
      <c r="B172" s="17" t="s">
        <v>12</v>
      </c>
      <c r="C172" s="17" t="s">
        <v>13</v>
      </c>
      <c r="D172" s="17" t="s">
        <v>14</v>
      </c>
      <c r="E172" s="17" t="s">
        <v>15</v>
      </c>
      <c r="F172" s="17" t="s">
        <v>16</v>
      </c>
      <c r="G172" s="17" t="s">
        <v>17</v>
      </c>
      <c r="H172" s="18" t="s">
        <v>18</v>
      </c>
    </row>
    <row r="173" spans="1:10" customFormat="1" ht="75" customHeight="1" outlineLevel="1" x14ac:dyDescent="0.3">
      <c r="A173" s="19">
        <v>1</v>
      </c>
      <c r="B173" s="20" t="s">
        <v>110</v>
      </c>
      <c r="C173" s="21">
        <v>115</v>
      </c>
      <c r="D173" s="21" t="s">
        <v>20</v>
      </c>
      <c r="E173" s="20">
        <v>20</v>
      </c>
      <c r="F173" s="20">
        <f t="shared" ref="F173:F180" si="40">E173*C173</f>
        <v>2300</v>
      </c>
      <c r="G173" s="22" t="s">
        <v>97</v>
      </c>
      <c r="H173" s="23" t="s">
        <v>98</v>
      </c>
      <c r="I173" s="24"/>
      <c r="J173" s="24"/>
    </row>
    <row r="174" spans="1:10" customFormat="1" ht="75" customHeight="1" outlineLevel="1" x14ac:dyDescent="0.3">
      <c r="A174" s="19">
        <v>2</v>
      </c>
      <c r="B174" s="20" t="s">
        <v>111</v>
      </c>
      <c r="C174" s="21">
        <v>115</v>
      </c>
      <c r="D174" s="21" t="s">
        <v>20</v>
      </c>
      <c r="E174" s="20">
        <v>4</v>
      </c>
      <c r="F174" s="20">
        <f t="shared" si="40"/>
        <v>460</v>
      </c>
      <c r="G174" s="22" t="s">
        <v>97</v>
      </c>
      <c r="H174" s="23" t="s">
        <v>98</v>
      </c>
      <c r="I174" s="24"/>
      <c r="J174" s="24"/>
    </row>
    <row r="175" spans="1:10" customFormat="1" ht="45" customHeight="1" outlineLevel="1" x14ac:dyDescent="0.3">
      <c r="A175" s="19">
        <v>3</v>
      </c>
      <c r="B175" s="20" t="s">
        <v>79</v>
      </c>
      <c r="C175" s="21">
        <v>120</v>
      </c>
      <c r="D175" s="21" t="s">
        <v>51</v>
      </c>
      <c r="E175" s="20">
        <v>3.1</v>
      </c>
      <c r="F175" s="20">
        <f t="shared" si="40"/>
        <v>372</v>
      </c>
      <c r="G175" s="22" t="s">
        <v>80</v>
      </c>
      <c r="H175" s="23" t="s">
        <v>81</v>
      </c>
      <c r="I175" s="24"/>
      <c r="J175" s="24"/>
    </row>
    <row r="176" spans="1:10" customFormat="1" ht="90" customHeight="1" outlineLevel="1" x14ac:dyDescent="0.3">
      <c r="A176" s="19">
        <v>4</v>
      </c>
      <c r="B176" s="20" t="s">
        <v>100</v>
      </c>
      <c r="C176" s="21">
        <v>180</v>
      </c>
      <c r="D176" s="21" t="s">
        <v>20</v>
      </c>
      <c r="E176" s="20">
        <v>8</v>
      </c>
      <c r="F176" s="20">
        <f t="shared" si="40"/>
        <v>1440</v>
      </c>
      <c r="G176" s="22" t="s">
        <v>101</v>
      </c>
      <c r="H176" s="23" t="s">
        <v>102</v>
      </c>
      <c r="I176" s="24"/>
      <c r="J176" s="24"/>
    </row>
    <row r="177" spans="1:10" customFormat="1" ht="105" customHeight="1" outlineLevel="1" x14ac:dyDescent="0.3">
      <c r="A177" s="19">
        <v>5</v>
      </c>
      <c r="B177" s="20" t="s">
        <v>103</v>
      </c>
      <c r="C177" s="21">
        <v>255</v>
      </c>
      <c r="D177" s="21" t="s">
        <v>20</v>
      </c>
      <c r="E177" s="20">
        <v>4</v>
      </c>
      <c r="F177" s="20">
        <f t="shared" si="40"/>
        <v>1020</v>
      </c>
      <c r="G177" s="22" t="s">
        <v>104</v>
      </c>
      <c r="H177" s="23" t="s">
        <v>105</v>
      </c>
      <c r="I177" s="24"/>
      <c r="J177" s="24"/>
    </row>
    <row r="178" spans="1:10" customFormat="1" ht="45" customHeight="1" outlineLevel="1" x14ac:dyDescent="0.3">
      <c r="A178" s="19">
        <v>6</v>
      </c>
      <c r="B178" s="20" t="s">
        <v>76</v>
      </c>
      <c r="C178" s="21">
        <v>85</v>
      </c>
      <c r="D178" s="21" t="s">
        <v>51</v>
      </c>
      <c r="E178" s="20">
        <v>6</v>
      </c>
      <c r="F178" s="20">
        <f t="shared" si="40"/>
        <v>510</v>
      </c>
      <c r="G178" s="22" t="s">
        <v>77</v>
      </c>
      <c r="H178" s="23" t="s">
        <v>78</v>
      </c>
      <c r="I178" s="24"/>
      <c r="J178" s="24"/>
    </row>
    <row r="179" spans="1:10" customFormat="1" ht="45" customHeight="1" outlineLevel="1" x14ac:dyDescent="0.3">
      <c r="A179" s="19">
        <v>7</v>
      </c>
      <c r="B179" s="20" t="s">
        <v>106</v>
      </c>
      <c r="C179" s="21">
        <v>122</v>
      </c>
      <c r="D179" s="21" t="s">
        <v>51</v>
      </c>
      <c r="E179" s="20">
        <v>3.1</v>
      </c>
      <c r="F179" s="20">
        <f t="shared" si="40"/>
        <v>378.2</v>
      </c>
      <c r="G179" s="22" t="s">
        <v>107</v>
      </c>
      <c r="H179" s="23" t="s">
        <v>108</v>
      </c>
      <c r="I179" s="24"/>
      <c r="J179" s="24"/>
    </row>
    <row r="180" spans="1:10" customFormat="1" ht="45" customHeight="1" outlineLevel="1" x14ac:dyDescent="0.3">
      <c r="A180" s="19">
        <v>8</v>
      </c>
      <c r="B180" s="20" t="s">
        <v>82</v>
      </c>
      <c r="C180" s="21">
        <v>80</v>
      </c>
      <c r="D180" s="21" t="s">
        <v>51</v>
      </c>
      <c r="E180" s="20">
        <v>10</v>
      </c>
      <c r="F180" s="20">
        <f t="shared" si="40"/>
        <v>800</v>
      </c>
      <c r="G180" s="22" t="s">
        <v>83</v>
      </c>
      <c r="H180" s="23" t="s">
        <v>84</v>
      </c>
      <c r="I180" s="24"/>
      <c r="J180" s="24"/>
    </row>
    <row r="181" spans="1:10" x14ac:dyDescent="0.3">
      <c r="A181" s="60"/>
      <c r="B181" s="60"/>
      <c r="C181" s="60"/>
      <c r="D181" s="60"/>
      <c r="E181" s="60"/>
      <c r="F181" s="60"/>
      <c r="G181" s="60"/>
      <c r="H181" s="60"/>
    </row>
    <row r="182" spans="1:10" ht="15" customHeight="1" x14ac:dyDescent="0.3">
      <c r="A182" s="61" t="s">
        <v>113</v>
      </c>
      <c r="B182" s="61"/>
      <c r="C182" s="61"/>
      <c r="D182" s="61"/>
      <c r="E182" s="61"/>
      <c r="F182" s="62"/>
      <c r="G182" s="63">
        <f>SUM(F184:F185)</f>
        <v>12632</v>
      </c>
      <c r="H182" s="64"/>
    </row>
    <row r="183" spans="1:10" ht="15" customHeight="1" x14ac:dyDescent="0.3">
      <c r="A183" s="16" t="s">
        <v>11</v>
      </c>
      <c r="B183" s="17" t="s">
        <v>12</v>
      </c>
      <c r="C183" s="17" t="s">
        <v>13</v>
      </c>
      <c r="D183" s="17" t="s">
        <v>14</v>
      </c>
      <c r="E183" s="17" t="s">
        <v>15</v>
      </c>
      <c r="F183" s="17" t="s">
        <v>16</v>
      </c>
      <c r="G183" s="17" t="s">
        <v>17</v>
      </c>
      <c r="H183" s="18" t="s">
        <v>18</v>
      </c>
    </row>
    <row r="184" spans="1:10" customFormat="1" ht="45" customHeight="1" outlineLevel="1" x14ac:dyDescent="0.3">
      <c r="A184" s="19">
        <v>1</v>
      </c>
      <c r="B184" s="20" t="s">
        <v>114</v>
      </c>
      <c r="C184" s="21">
        <v>188</v>
      </c>
      <c r="D184" s="21" t="s">
        <v>20</v>
      </c>
      <c r="E184" s="20">
        <v>37</v>
      </c>
      <c r="F184" s="20">
        <f t="shared" ref="F184:F185" si="41">E184*C184</f>
        <v>6956</v>
      </c>
      <c r="G184" s="22" t="s">
        <v>83</v>
      </c>
      <c r="H184" s="23" t="s">
        <v>115</v>
      </c>
      <c r="I184" s="24"/>
      <c r="J184" s="24"/>
    </row>
    <row r="185" spans="1:10" customFormat="1" ht="60" customHeight="1" outlineLevel="1" x14ac:dyDescent="0.3">
      <c r="A185" s="19">
        <v>2</v>
      </c>
      <c r="B185" s="20" t="s">
        <v>116</v>
      </c>
      <c r="C185" s="21">
        <v>258</v>
      </c>
      <c r="D185" s="21" t="s">
        <v>20</v>
      </c>
      <c r="E185" s="20">
        <v>22</v>
      </c>
      <c r="F185" s="20">
        <f t="shared" si="41"/>
        <v>5676</v>
      </c>
      <c r="G185" s="22" t="s">
        <v>117</v>
      </c>
      <c r="H185" s="23" t="s">
        <v>118</v>
      </c>
      <c r="I185" s="24"/>
      <c r="J185" s="24"/>
    </row>
    <row r="186" spans="1:10" x14ac:dyDescent="0.3">
      <c r="A186" s="60"/>
      <c r="B186" s="60"/>
      <c r="C186" s="60"/>
      <c r="D186" s="60"/>
      <c r="E186" s="60"/>
      <c r="F186" s="60"/>
      <c r="G186" s="60"/>
      <c r="H186" s="60"/>
    </row>
    <row r="187" spans="1:10" ht="15" customHeight="1" x14ac:dyDescent="0.3">
      <c r="A187" s="61" t="s">
        <v>119</v>
      </c>
      <c r="B187" s="61"/>
      <c r="C187" s="61"/>
      <c r="D187" s="61"/>
      <c r="E187" s="61"/>
      <c r="F187" s="62"/>
      <c r="G187" s="63">
        <f>SUM(F189:F193)</f>
        <v>49895</v>
      </c>
      <c r="H187" s="64"/>
    </row>
    <row r="188" spans="1:10" ht="15" customHeight="1" x14ac:dyDescent="0.3">
      <c r="A188" s="16" t="s">
        <v>11</v>
      </c>
      <c r="B188" s="17" t="s">
        <v>12</v>
      </c>
      <c r="C188" s="17" t="s">
        <v>13</v>
      </c>
      <c r="D188" s="17" t="s">
        <v>14</v>
      </c>
      <c r="E188" s="17" t="s">
        <v>15</v>
      </c>
      <c r="F188" s="17" t="s">
        <v>16</v>
      </c>
      <c r="G188" s="17" t="s">
        <v>17</v>
      </c>
      <c r="H188" s="18" t="s">
        <v>18</v>
      </c>
    </row>
    <row r="189" spans="1:10" customFormat="1" ht="120" customHeight="1" outlineLevel="1" x14ac:dyDescent="0.3">
      <c r="A189" s="19">
        <v>1</v>
      </c>
      <c r="B189" s="20" t="s">
        <v>120</v>
      </c>
      <c r="C189" s="21">
        <v>30</v>
      </c>
      <c r="D189" s="21" t="s">
        <v>20</v>
      </c>
      <c r="E189" s="20">
        <v>193</v>
      </c>
      <c r="F189" s="20">
        <f t="shared" ref="F189:F193" si="42">E189*C189</f>
        <v>5790</v>
      </c>
      <c r="G189" s="22" t="s">
        <v>121</v>
      </c>
      <c r="H189" s="23" t="s">
        <v>122</v>
      </c>
      <c r="I189" s="24"/>
      <c r="J189" s="24"/>
    </row>
    <row r="190" spans="1:10" customFormat="1" ht="90" customHeight="1" outlineLevel="1" x14ac:dyDescent="0.3">
      <c r="A190" s="19">
        <v>2</v>
      </c>
      <c r="B190" s="20" t="s">
        <v>123</v>
      </c>
      <c r="C190" s="21">
        <v>800</v>
      </c>
      <c r="D190" s="21" t="s">
        <v>124</v>
      </c>
      <c r="E190" s="20">
        <v>3</v>
      </c>
      <c r="F190" s="20">
        <f t="shared" si="42"/>
        <v>2400</v>
      </c>
      <c r="G190" s="22" t="s">
        <v>121</v>
      </c>
      <c r="H190" s="23" t="s">
        <v>125</v>
      </c>
      <c r="I190" s="24"/>
      <c r="J190" s="24"/>
    </row>
    <row r="191" spans="1:10" customFormat="1" ht="195" customHeight="1" outlineLevel="1" x14ac:dyDescent="0.3">
      <c r="A191" s="19">
        <v>3</v>
      </c>
      <c r="B191" s="25" t="s">
        <v>126</v>
      </c>
      <c r="C191" s="21">
        <v>160</v>
      </c>
      <c r="D191" s="21" t="s">
        <v>20</v>
      </c>
      <c r="E191" s="20">
        <v>193</v>
      </c>
      <c r="F191" s="20">
        <f t="shared" si="42"/>
        <v>30880</v>
      </c>
      <c r="G191" s="22" t="s">
        <v>127</v>
      </c>
      <c r="H191" s="26" t="s">
        <v>128</v>
      </c>
      <c r="I191" s="24"/>
      <c r="J191" s="24"/>
    </row>
    <row r="192" spans="1:10" customFormat="1" ht="105" customHeight="1" outlineLevel="1" x14ac:dyDescent="0.3">
      <c r="A192" s="19">
        <v>5</v>
      </c>
      <c r="B192" s="25" t="s">
        <v>129</v>
      </c>
      <c r="C192" s="21">
        <v>750</v>
      </c>
      <c r="D192" s="21" t="s">
        <v>92</v>
      </c>
      <c r="E192" s="20">
        <v>8</v>
      </c>
      <c r="F192" s="20">
        <f t="shared" si="42"/>
        <v>6000</v>
      </c>
      <c r="G192" s="22" t="s">
        <v>130</v>
      </c>
      <c r="H192" s="26" t="s">
        <v>131</v>
      </c>
      <c r="I192" s="24"/>
      <c r="J192" s="24"/>
    </row>
    <row r="193" spans="1:10" customFormat="1" ht="75" customHeight="1" outlineLevel="1" x14ac:dyDescent="0.3">
      <c r="A193" s="19">
        <v>6</v>
      </c>
      <c r="B193" s="25" t="s">
        <v>132</v>
      </c>
      <c r="C193" s="21">
        <v>25</v>
      </c>
      <c r="D193" s="21" t="s">
        <v>20</v>
      </c>
      <c r="E193" s="20">
        <v>193</v>
      </c>
      <c r="F193" s="20">
        <f t="shared" si="42"/>
        <v>4825</v>
      </c>
      <c r="G193" s="22" t="s">
        <v>130</v>
      </c>
      <c r="H193" s="26" t="s">
        <v>133</v>
      </c>
      <c r="I193" s="24"/>
      <c r="J193" s="24"/>
    </row>
    <row r="194" spans="1:10" x14ac:dyDescent="0.3">
      <c r="A194" s="60"/>
      <c r="B194" s="60"/>
      <c r="C194" s="60"/>
      <c r="D194" s="60"/>
      <c r="E194" s="60"/>
      <c r="F194" s="60"/>
      <c r="G194" s="60"/>
      <c r="H194" s="60"/>
    </row>
    <row r="195" spans="1:10" customFormat="1" ht="15" customHeight="1" x14ac:dyDescent="0.3">
      <c r="A195" s="61" t="s">
        <v>134</v>
      </c>
      <c r="B195" s="61"/>
      <c r="C195" s="61"/>
      <c r="D195" s="61"/>
      <c r="E195" s="61"/>
      <c r="F195" s="62"/>
      <c r="G195" s="63">
        <f>SUM(F197:F198)</f>
        <v>3044</v>
      </c>
      <c r="H195" s="64"/>
    </row>
    <row r="196" spans="1:10" customFormat="1" ht="15" customHeight="1" x14ac:dyDescent="0.3">
      <c r="A196" s="16" t="s">
        <v>11</v>
      </c>
      <c r="B196" s="17" t="s">
        <v>12</v>
      </c>
      <c r="C196" s="17" t="s">
        <v>13</v>
      </c>
      <c r="D196" s="17" t="s">
        <v>14</v>
      </c>
      <c r="E196" s="17" t="s">
        <v>15</v>
      </c>
      <c r="F196" s="17" t="s">
        <v>16</v>
      </c>
      <c r="G196" s="17" t="s">
        <v>17</v>
      </c>
      <c r="H196" s="18" t="s">
        <v>18</v>
      </c>
    </row>
    <row r="197" spans="1:10" customFormat="1" ht="35.15" customHeight="1" outlineLevel="1" x14ac:dyDescent="0.3">
      <c r="A197" s="19">
        <v>1</v>
      </c>
      <c r="B197" s="20" t="s">
        <v>135</v>
      </c>
      <c r="C197" s="21">
        <v>8</v>
      </c>
      <c r="D197" s="21" t="s">
        <v>136</v>
      </c>
      <c r="E197" s="20">
        <v>193</v>
      </c>
      <c r="F197" s="20">
        <f>E197*C197</f>
        <v>1544</v>
      </c>
      <c r="G197" s="22" t="s">
        <v>27</v>
      </c>
      <c r="H197" s="23" t="s">
        <v>137</v>
      </c>
    </row>
    <row r="198" spans="1:10" customFormat="1" ht="35.15" customHeight="1" outlineLevel="1" x14ac:dyDescent="0.3">
      <c r="A198" s="19">
        <v>2</v>
      </c>
      <c r="B198" s="20" t="s">
        <v>138</v>
      </c>
      <c r="C198" s="21">
        <v>1500</v>
      </c>
      <c r="D198" s="21" t="s">
        <v>139</v>
      </c>
      <c r="E198" s="20">
        <v>1</v>
      </c>
      <c r="F198" s="20">
        <f>E198*C198</f>
        <v>1500</v>
      </c>
      <c r="G198" s="22" t="s">
        <v>27</v>
      </c>
      <c r="H198" s="23" t="s">
        <v>140</v>
      </c>
    </row>
    <row r="199" spans="1:10" x14ac:dyDescent="0.3">
      <c r="A199" s="47"/>
      <c r="B199" s="47"/>
      <c r="C199" s="47"/>
      <c r="D199" s="47"/>
      <c r="E199" s="47"/>
      <c r="F199" s="48"/>
      <c r="G199" s="49">
        <f>G195+G187+G182+G171+G160+G149+G128+G102+G80+G55+G26+G7</f>
        <v>240019.59999999998</v>
      </c>
      <c r="H199" s="50"/>
    </row>
    <row r="200" spans="1:10" customFormat="1" ht="15" customHeight="1" x14ac:dyDescent="0.3">
      <c r="A200" s="51"/>
      <c r="B200" s="52"/>
      <c r="C200" s="52"/>
      <c r="D200" s="52"/>
      <c r="E200" s="52"/>
      <c r="F200" s="52"/>
      <c r="G200" s="52"/>
      <c r="H200" s="53"/>
    </row>
    <row r="201" spans="1:10" customFormat="1" ht="15" customHeight="1" x14ac:dyDescent="0.3">
      <c r="A201" s="27" t="s">
        <v>11</v>
      </c>
      <c r="B201" s="28" t="s">
        <v>12</v>
      </c>
      <c r="C201" s="28" t="s">
        <v>13</v>
      </c>
      <c r="D201" s="28" t="s">
        <v>14</v>
      </c>
      <c r="E201" s="28" t="s">
        <v>15</v>
      </c>
      <c r="F201" s="28" t="s">
        <v>16</v>
      </c>
      <c r="G201" s="28"/>
      <c r="H201" s="29"/>
    </row>
    <row r="202" spans="1:10" customFormat="1" ht="35.15" customHeight="1" outlineLevel="1" x14ac:dyDescent="0.3">
      <c r="A202" s="30">
        <v>1</v>
      </c>
      <c r="B202" s="12" t="s">
        <v>141</v>
      </c>
      <c r="C202" s="31">
        <v>0.12</v>
      </c>
      <c r="D202" s="32" t="s">
        <v>142</v>
      </c>
      <c r="E202" s="33">
        <f>G199</f>
        <v>240019.59999999998</v>
      </c>
      <c r="F202" s="33">
        <f>C202*E202</f>
        <v>28802.351999999995</v>
      </c>
      <c r="G202" s="34"/>
      <c r="H202" s="35"/>
    </row>
    <row r="203" spans="1:10" customFormat="1" ht="35.15" customHeight="1" outlineLevel="1" x14ac:dyDescent="0.3">
      <c r="A203" s="30">
        <v>2</v>
      </c>
      <c r="B203" s="12" t="s">
        <v>143</v>
      </c>
      <c r="C203" s="31">
        <v>0.04</v>
      </c>
      <c r="D203" s="32" t="s">
        <v>142</v>
      </c>
      <c r="E203" s="33">
        <f>E202</f>
        <v>240019.59999999998</v>
      </c>
      <c r="F203" s="33">
        <f>C203*E203</f>
        <v>9600.7839999999997</v>
      </c>
      <c r="G203" s="13" t="s">
        <v>144</v>
      </c>
      <c r="H203" s="35"/>
    </row>
    <row r="204" spans="1:10" customFormat="1" ht="35.15" customHeight="1" outlineLevel="1" x14ac:dyDescent="0.3">
      <c r="A204" s="30">
        <v>3</v>
      </c>
      <c r="B204" s="12" t="s">
        <v>145</v>
      </c>
      <c r="C204" s="32">
        <v>150</v>
      </c>
      <c r="D204" s="32" t="s">
        <v>20</v>
      </c>
      <c r="E204" s="12"/>
      <c r="F204" s="12">
        <f>C204*E204</f>
        <v>0</v>
      </c>
      <c r="G204" s="13"/>
      <c r="H204" s="36" t="s">
        <v>146</v>
      </c>
    </row>
    <row r="205" spans="1:10" customFormat="1" ht="15" customHeight="1" x14ac:dyDescent="0.3">
      <c r="A205" s="54" t="s">
        <v>147</v>
      </c>
      <c r="B205" s="54"/>
      <c r="C205" s="54"/>
      <c r="D205" s="54"/>
      <c r="E205" s="54"/>
      <c r="F205" s="54"/>
      <c r="G205" s="51"/>
      <c r="H205" s="37"/>
    </row>
    <row r="206" spans="1:10" customFormat="1" ht="45" customHeight="1" x14ac:dyDescent="0.3">
      <c r="A206" s="55">
        <v>270010.41600000003</v>
      </c>
      <c r="B206" s="56"/>
      <c r="C206" s="56"/>
      <c r="D206" s="56"/>
      <c r="E206" s="56"/>
      <c r="F206" s="57"/>
      <c r="G206" s="58">
        <v>220000</v>
      </c>
      <c r="H206" s="59"/>
    </row>
    <row r="207" spans="1:10" customFormat="1" ht="15" customHeight="1" x14ac:dyDescent="0.3">
      <c r="A207" s="39"/>
      <c r="B207" s="40"/>
      <c r="C207" s="40"/>
      <c r="D207" s="40"/>
      <c r="E207" s="40"/>
      <c r="F207" s="40"/>
      <c r="G207" s="40"/>
      <c r="H207" s="41"/>
    </row>
    <row r="208" spans="1:10" customFormat="1" ht="75" customHeight="1" x14ac:dyDescent="0.3">
      <c r="A208" s="42" t="s">
        <v>221</v>
      </c>
      <c r="B208" s="43"/>
      <c r="C208" s="43"/>
      <c r="D208" s="43"/>
      <c r="E208" s="43"/>
      <c r="F208" s="43"/>
      <c r="G208" s="43"/>
      <c r="H208" s="44"/>
    </row>
    <row r="209" spans="1:8" customFormat="1" ht="175" customHeight="1" x14ac:dyDescent="0.3">
      <c r="A209" s="45" t="s">
        <v>148</v>
      </c>
      <c r="B209" s="45"/>
      <c r="C209" s="45"/>
      <c r="D209" s="45"/>
      <c r="E209" s="45"/>
      <c r="F209" s="45"/>
      <c r="G209" s="45"/>
      <c r="H209" s="45"/>
    </row>
    <row r="210" spans="1:8" customFormat="1" ht="80.150000000000006" customHeight="1" x14ac:dyDescent="0.3">
      <c r="A210" s="46" t="s">
        <v>149</v>
      </c>
      <c r="B210" s="46"/>
      <c r="C210" s="46"/>
      <c r="D210" s="46"/>
      <c r="E210" s="46"/>
      <c r="F210" s="46"/>
      <c r="G210" s="46"/>
      <c r="H210" s="38" t="s">
        <v>150</v>
      </c>
    </row>
    <row r="211" spans="1:8" customFormat="1" ht="80.150000000000006" customHeight="1" x14ac:dyDescent="0.3">
      <c r="A211" s="46" t="s">
        <v>151</v>
      </c>
      <c r="B211" s="46"/>
      <c r="C211" s="46"/>
      <c r="D211" s="46"/>
      <c r="E211" s="46"/>
      <c r="F211" s="46"/>
      <c r="G211" s="46"/>
      <c r="H211" s="38" t="s">
        <v>151</v>
      </c>
    </row>
  </sheetData>
  <autoFilter ref="B1:B211" xr:uid="{00000000-0009-0000-0000-000000000000}"/>
  <mergeCells count="57">
    <mergeCell ref="A1:H1"/>
    <mergeCell ref="A2:B2"/>
    <mergeCell ref="C2:F2"/>
    <mergeCell ref="A3:B3"/>
    <mergeCell ref="C3:F3"/>
    <mergeCell ref="A4:B4"/>
    <mergeCell ref="C4:F4"/>
    <mergeCell ref="G4:H4"/>
    <mergeCell ref="A5:B5"/>
    <mergeCell ref="C5:F5"/>
    <mergeCell ref="A6:H6"/>
    <mergeCell ref="A7:F7"/>
    <mergeCell ref="G7:H7"/>
    <mergeCell ref="A25:H25"/>
    <mergeCell ref="A26:F26"/>
    <mergeCell ref="G26:H26"/>
    <mergeCell ref="A54:H54"/>
    <mergeCell ref="A55:F55"/>
    <mergeCell ref="G55:H55"/>
    <mergeCell ref="A79:H79"/>
    <mergeCell ref="A80:F80"/>
    <mergeCell ref="G80:H80"/>
    <mergeCell ref="A101:H101"/>
    <mergeCell ref="A102:F102"/>
    <mergeCell ref="G102:H102"/>
    <mergeCell ref="A127:H127"/>
    <mergeCell ref="A128:F128"/>
    <mergeCell ref="G128:H128"/>
    <mergeCell ref="A148:H148"/>
    <mergeCell ref="A149:F149"/>
    <mergeCell ref="G149:H149"/>
    <mergeCell ref="A159:H159"/>
    <mergeCell ref="A160:F160"/>
    <mergeCell ref="G160:H160"/>
    <mergeCell ref="A170:H170"/>
    <mergeCell ref="A171:F171"/>
    <mergeCell ref="G171:H171"/>
    <mergeCell ref="A181:H181"/>
    <mergeCell ref="A182:F182"/>
    <mergeCell ref="G182:H182"/>
    <mergeCell ref="A186:H186"/>
    <mergeCell ref="A187:F187"/>
    <mergeCell ref="G187:H187"/>
    <mergeCell ref="A194:H194"/>
    <mergeCell ref="A195:F195"/>
    <mergeCell ref="G195:H195"/>
    <mergeCell ref="A199:F199"/>
    <mergeCell ref="G199:H199"/>
    <mergeCell ref="A200:H200"/>
    <mergeCell ref="A205:G205"/>
    <mergeCell ref="A206:F206"/>
    <mergeCell ref="G206:H206"/>
    <mergeCell ref="A207:H207"/>
    <mergeCell ref="A208:H208"/>
    <mergeCell ref="A209:H209"/>
    <mergeCell ref="A210:G210"/>
    <mergeCell ref="A211:G211"/>
  </mergeCells>
  <phoneticPr fontId="19" type="noConversion"/>
  <printOptions horizontalCentered="1" verticalCentered="1"/>
  <pageMargins left="0.23622047244094499" right="0.23622047244094499" top="0.31496062992126" bottom="0.47244094488188998" header="0.31496062992126" footer="0.31496062992126"/>
  <pageSetup paperSize="9" scale="59" fitToHeight="0" orientation="portrait" r:id="rId1"/>
  <headerFooter alignWithMargins="0"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26"/>
  <sheetViews>
    <sheetView zoomScale="160" zoomScaleNormal="160" workbookViewId="0">
      <selection activeCell="C5" sqref="C5"/>
    </sheetView>
  </sheetViews>
  <sheetFormatPr defaultColWidth="9" defaultRowHeight="14" x14ac:dyDescent="0.3"/>
  <cols>
    <col min="1" max="1" width="20.58203125" customWidth="1"/>
    <col min="2" max="2" width="25.58203125" customWidth="1"/>
    <col min="3" max="4" width="20.58203125" customWidth="1"/>
  </cols>
  <sheetData>
    <row r="1" spans="1:4" ht="25" x14ac:dyDescent="0.3">
      <c r="A1" s="75" t="s">
        <v>152</v>
      </c>
      <c r="B1" s="75"/>
      <c r="C1" s="75"/>
      <c r="D1" s="75"/>
    </row>
    <row r="2" spans="1:4" x14ac:dyDescent="0.3">
      <c r="A2" s="1" t="s">
        <v>153</v>
      </c>
      <c r="B2" s="1" t="s">
        <v>154</v>
      </c>
      <c r="C2" s="1" t="s">
        <v>155</v>
      </c>
      <c r="D2" s="1" t="s">
        <v>156</v>
      </c>
    </row>
    <row r="3" spans="1:4" ht="40" customHeight="1" x14ac:dyDescent="0.3">
      <c r="A3" s="2" t="s">
        <v>157</v>
      </c>
      <c r="B3" s="3" t="s">
        <v>158</v>
      </c>
      <c r="C3" s="3" t="s">
        <v>159</v>
      </c>
      <c r="D3" s="4" t="s">
        <v>126</v>
      </c>
    </row>
    <row r="4" spans="1:4" ht="40" customHeight="1" x14ac:dyDescent="0.3">
      <c r="A4" s="5" t="s">
        <v>160</v>
      </c>
      <c r="B4" s="6" t="s">
        <v>130</v>
      </c>
      <c r="C4" s="6" t="s">
        <v>161</v>
      </c>
      <c r="D4" s="7" t="s">
        <v>162</v>
      </c>
    </row>
    <row r="5" spans="1:4" ht="40" customHeight="1" x14ac:dyDescent="0.3">
      <c r="A5" s="2" t="s">
        <v>163</v>
      </c>
      <c r="B5" s="3" t="s">
        <v>130</v>
      </c>
      <c r="C5" s="3" t="s">
        <v>164</v>
      </c>
      <c r="D5" s="4" t="s">
        <v>162</v>
      </c>
    </row>
    <row r="6" spans="1:4" ht="40" customHeight="1" x14ac:dyDescent="0.3">
      <c r="A6" s="5" t="s">
        <v>165</v>
      </c>
      <c r="B6" s="6" t="s">
        <v>166</v>
      </c>
      <c r="C6" s="6" t="s">
        <v>167</v>
      </c>
      <c r="D6" s="7" t="s">
        <v>162</v>
      </c>
    </row>
    <row r="7" spans="1:4" ht="40" customHeight="1" x14ac:dyDescent="0.3">
      <c r="A7" s="2" t="s">
        <v>168</v>
      </c>
      <c r="B7" s="3" t="s">
        <v>169</v>
      </c>
      <c r="C7" s="3" t="s">
        <v>170</v>
      </c>
      <c r="D7" s="4" t="s">
        <v>126</v>
      </c>
    </row>
    <row r="8" spans="1:4" ht="40" customHeight="1" x14ac:dyDescent="0.3">
      <c r="A8" s="5" t="s">
        <v>171</v>
      </c>
      <c r="B8" s="6" t="s">
        <v>172</v>
      </c>
      <c r="C8" s="6" t="s">
        <v>173</v>
      </c>
      <c r="D8" s="7" t="s">
        <v>126</v>
      </c>
    </row>
    <row r="9" spans="1:4" ht="40" customHeight="1" x14ac:dyDescent="0.3">
      <c r="A9" s="2" t="s">
        <v>174</v>
      </c>
      <c r="B9" s="3" t="s">
        <v>175</v>
      </c>
      <c r="C9" s="3" t="s">
        <v>176</v>
      </c>
      <c r="D9" s="4" t="s">
        <v>177</v>
      </c>
    </row>
    <row r="10" spans="1:4" ht="40" customHeight="1" x14ac:dyDescent="0.3">
      <c r="A10" s="5" t="s">
        <v>178</v>
      </c>
      <c r="B10" s="6" t="s">
        <v>179</v>
      </c>
      <c r="C10" s="6" t="s">
        <v>180</v>
      </c>
      <c r="D10" s="7" t="s">
        <v>181</v>
      </c>
    </row>
    <row r="11" spans="1:4" ht="40" customHeight="1" x14ac:dyDescent="0.3">
      <c r="A11" s="2" t="s">
        <v>182</v>
      </c>
      <c r="B11" s="3" t="s">
        <v>183</v>
      </c>
      <c r="C11" s="3" t="s">
        <v>184</v>
      </c>
      <c r="D11" s="4" t="s">
        <v>185</v>
      </c>
    </row>
    <row r="12" spans="1:4" ht="40" customHeight="1" x14ac:dyDescent="0.3">
      <c r="A12" s="5" t="s">
        <v>186</v>
      </c>
      <c r="B12" s="6" t="s">
        <v>52</v>
      </c>
      <c r="C12" s="6" t="s">
        <v>187</v>
      </c>
      <c r="D12" s="7" t="s">
        <v>188</v>
      </c>
    </row>
    <row r="13" spans="1:4" ht="40" customHeight="1" x14ac:dyDescent="0.3">
      <c r="A13" s="2" t="s">
        <v>189</v>
      </c>
      <c r="B13" s="3" t="s">
        <v>190</v>
      </c>
      <c r="C13" s="3" t="s">
        <v>191</v>
      </c>
      <c r="D13" s="4" t="s">
        <v>192</v>
      </c>
    </row>
    <row r="14" spans="1:4" ht="40" customHeight="1" x14ac:dyDescent="0.3">
      <c r="A14" s="5" t="s">
        <v>193</v>
      </c>
      <c r="B14" s="6" t="s">
        <v>194</v>
      </c>
      <c r="C14" s="6" t="s">
        <v>195</v>
      </c>
      <c r="D14" s="7" t="s">
        <v>192</v>
      </c>
    </row>
    <row r="15" spans="1:4" ht="40" customHeight="1" x14ac:dyDescent="0.3">
      <c r="A15" s="2" t="s">
        <v>196</v>
      </c>
      <c r="B15" s="3" t="s">
        <v>197</v>
      </c>
      <c r="C15" s="3" t="s">
        <v>198</v>
      </c>
      <c r="D15" s="4" t="s">
        <v>192</v>
      </c>
    </row>
    <row r="16" spans="1:4" ht="40" customHeight="1" x14ac:dyDescent="0.3">
      <c r="A16" s="5" t="s">
        <v>199</v>
      </c>
      <c r="B16" s="6" t="s">
        <v>200</v>
      </c>
      <c r="C16" s="6" t="s">
        <v>184</v>
      </c>
      <c r="D16" s="7" t="s">
        <v>201</v>
      </c>
    </row>
    <row r="17" spans="1:4" ht="40" customHeight="1" x14ac:dyDescent="0.3">
      <c r="A17" s="2" t="s">
        <v>202</v>
      </c>
      <c r="B17" s="3" t="s">
        <v>203</v>
      </c>
      <c r="C17" s="3" t="s">
        <v>204</v>
      </c>
      <c r="D17" s="4" t="s">
        <v>205</v>
      </c>
    </row>
    <row r="18" spans="1:4" ht="40" customHeight="1" x14ac:dyDescent="0.3">
      <c r="A18" s="5" t="s">
        <v>206</v>
      </c>
      <c r="B18" s="6" t="s">
        <v>207</v>
      </c>
      <c r="C18" s="6"/>
      <c r="D18" s="7" t="s">
        <v>205</v>
      </c>
    </row>
    <row r="19" spans="1:4" ht="40" customHeight="1" x14ac:dyDescent="0.3">
      <c r="A19" s="2" t="s">
        <v>208</v>
      </c>
      <c r="B19" s="3" t="s">
        <v>209</v>
      </c>
      <c r="C19" s="3" t="s">
        <v>184</v>
      </c>
      <c r="D19" s="4" t="s">
        <v>210</v>
      </c>
    </row>
    <row r="20" spans="1:4" ht="40" customHeight="1" x14ac:dyDescent="0.3">
      <c r="A20" s="5" t="s">
        <v>211</v>
      </c>
      <c r="B20" s="6" t="s">
        <v>212</v>
      </c>
      <c r="C20" s="6" t="s">
        <v>184</v>
      </c>
      <c r="D20" s="7" t="s">
        <v>213</v>
      </c>
    </row>
    <row r="21" spans="1:4" ht="40" customHeight="1" x14ac:dyDescent="0.3">
      <c r="A21" s="2" t="s">
        <v>214</v>
      </c>
      <c r="B21" s="3" t="s">
        <v>215</v>
      </c>
      <c r="C21" s="3" t="s">
        <v>216</v>
      </c>
      <c r="D21" s="4" t="s">
        <v>210</v>
      </c>
    </row>
    <row r="22" spans="1:4" ht="40" customHeight="1" x14ac:dyDescent="0.3">
      <c r="A22" s="5" t="s">
        <v>217</v>
      </c>
      <c r="B22" s="6" t="s">
        <v>218</v>
      </c>
      <c r="C22" s="6" t="s">
        <v>219</v>
      </c>
      <c r="D22" s="7" t="s">
        <v>210</v>
      </c>
    </row>
    <row r="24" spans="1:4" x14ac:dyDescent="0.3">
      <c r="A24" s="8" t="s">
        <v>149</v>
      </c>
      <c r="B24" s="9"/>
      <c r="C24" s="8" t="s">
        <v>220</v>
      </c>
    </row>
    <row r="25" spans="1:4" x14ac:dyDescent="0.3">
      <c r="A25" s="9"/>
      <c r="B25" s="9"/>
      <c r="C25" s="9"/>
    </row>
    <row r="26" spans="1:4" x14ac:dyDescent="0.3">
      <c r="A26" s="8" t="s">
        <v>151</v>
      </c>
      <c r="B26" s="9"/>
      <c r="C26" s="10" t="s">
        <v>151</v>
      </c>
    </row>
  </sheetData>
  <mergeCells count="1">
    <mergeCell ref="A1:D1"/>
  </mergeCells>
  <phoneticPr fontId="19" type="noConversion"/>
  <printOptions horizontalCentered="1" verticalCentered="1"/>
  <pageMargins left="0.23622047244094499" right="0.23622047244094499" top="0.74803149606299202" bottom="0.74803149606299202" header="0.31496062992126" footer="0.31496062992126"/>
  <pageSetup paperSize="9" scale="91" fitToWidth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Sheet1</vt:lpstr>
      <vt:lpstr>乙供材料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濛 李</dc:creator>
  <cp:lastModifiedBy>濛 李</cp:lastModifiedBy>
  <cp:lastPrinted>2025-12-20T08:15:00Z</cp:lastPrinted>
  <dcterms:created xsi:type="dcterms:W3CDTF">2025-10-17T02:13:00Z</dcterms:created>
  <dcterms:modified xsi:type="dcterms:W3CDTF">2025-12-22T03:09:22Z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1ADAC3F86ED14E1789AEE55273D52EA2_12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