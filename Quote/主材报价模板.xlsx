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M:\2025\10月\水岸壹号21-2-1201\"/>
    </mc:Choice>
  </mc:AlternateContent>
  <xr:revisionPtr revIDLastSave="0" documentId="13_ncr:1_{5A6A1054-C1AB-48DA-B7B6-862790B631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Sheet1!$A$1:$L$181</definedName>
    <definedName name="_xlnm.Print_Titles" localSheetId="0">Sheet1!$4:$4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" l="1"/>
  <c r="F60" i="1"/>
  <c r="F57" i="1"/>
  <c r="F58" i="1"/>
  <c r="F53" i="1"/>
  <c r="F52" i="1"/>
  <c r="F51" i="1"/>
  <c r="F176" i="1"/>
  <c r="F175" i="1"/>
  <c r="F174" i="1"/>
  <c r="F173" i="1"/>
  <c r="F172" i="1"/>
  <c r="F171" i="1"/>
  <c r="F170" i="1"/>
  <c r="F164" i="1"/>
  <c r="F163" i="1"/>
  <c r="F162" i="1"/>
  <c r="F161" i="1"/>
  <c r="F160" i="1"/>
  <c r="F159" i="1"/>
  <c r="F158" i="1"/>
  <c r="F157" i="1"/>
  <c r="F156" i="1"/>
  <c r="C155" i="1"/>
  <c r="F155" i="1" s="1"/>
  <c r="F154" i="1"/>
  <c r="F153" i="1"/>
  <c r="F152" i="1"/>
  <c r="F151" i="1"/>
  <c r="F150" i="1"/>
  <c r="F149" i="1"/>
  <c r="F148" i="1"/>
  <c r="C147" i="1"/>
  <c r="F147" i="1" s="1"/>
  <c r="F146" i="1"/>
  <c r="F145" i="1"/>
  <c r="F144" i="1"/>
  <c r="F143" i="1"/>
  <c r="F142" i="1"/>
  <c r="F141" i="1"/>
  <c r="E140" i="1"/>
  <c r="C140" i="1"/>
  <c r="C139" i="1"/>
  <c r="F139" i="1" s="1"/>
  <c r="F138" i="1"/>
  <c r="F137" i="1"/>
  <c r="F136" i="1"/>
  <c r="F135" i="1"/>
  <c r="F134" i="1"/>
  <c r="E133" i="1"/>
  <c r="C133" i="1"/>
  <c r="C132" i="1"/>
  <c r="F132" i="1" s="1"/>
  <c r="C131" i="1"/>
  <c r="F131" i="1" s="1"/>
  <c r="C130" i="1"/>
  <c r="F130" i="1" s="1"/>
  <c r="F129" i="1"/>
  <c r="F128" i="1"/>
  <c r="F127" i="1"/>
  <c r="F126" i="1"/>
  <c r="F125" i="1"/>
  <c r="F124" i="1"/>
  <c r="C123" i="1"/>
  <c r="F123" i="1" s="1"/>
  <c r="F122" i="1"/>
  <c r="F121" i="1"/>
  <c r="F120" i="1"/>
  <c r="F119" i="1"/>
  <c r="F118" i="1"/>
  <c r="E117" i="1"/>
  <c r="C117" i="1"/>
  <c r="E116" i="1"/>
  <c r="C116" i="1"/>
  <c r="F115" i="1"/>
  <c r="F114" i="1"/>
  <c r="F113" i="1"/>
  <c r="E112" i="1"/>
  <c r="F112" i="1" s="1"/>
  <c r="F111" i="1"/>
  <c r="F110" i="1"/>
  <c r="F109" i="1"/>
  <c r="F108" i="1"/>
  <c r="F107" i="1"/>
  <c r="E106" i="1"/>
  <c r="F106" i="1" s="1"/>
  <c r="F105" i="1"/>
  <c r="E104" i="1"/>
  <c r="F104" i="1" s="1"/>
  <c r="E103" i="1"/>
  <c r="C103" i="1"/>
  <c r="F102" i="1"/>
  <c r="F101" i="1"/>
  <c r="F100" i="1"/>
  <c r="F99" i="1"/>
  <c r="F98" i="1"/>
  <c r="F97" i="1"/>
  <c r="E96" i="1"/>
  <c r="F96" i="1" s="1"/>
  <c r="E95" i="1"/>
  <c r="C95" i="1"/>
  <c r="E94" i="1"/>
  <c r="C94" i="1"/>
  <c r="F93" i="1"/>
  <c r="F92" i="1"/>
  <c r="F91" i="1"/>
  <c r="F90" i="1"/>
  <c r="F89" i="1"/>
  <c r="F88" i="1"/>
  <c r="F87" i="1"/>
  <c r="F86" i="1"/>
  <c r="F85" i="1"/>
  <c r="F84" i="1"/>
  <c r="E83" i="1"/>
  <c r="C83" i="1"/>
  <c r="F82" i="1"/>
  <c r="E81" i="1"/>
  <c r="C81" i="1"/>
  <c r="E80" i="1"/>
  <c r="F80" i="1" s="1"/>
  <c r="E79" i="1"/>
  <c r="F79" i="1" s="1"/>
  <c r="F78" i="1"/>
  <c r="F77" i="1"/>
  <c r="F76" i="1"/>
  <c r="F75" i="1"/>
  <c r="F73" i="1"/>
  <c r="F72" i="1"/>
  <c r="F71" i="1"/>
  <c r="F70" i="1"/>
  <c r="F69" i="1"/>
  <c r="F68" i="1"/>
  <c r="F67" i="1"/>
  <c r="F66" i="1"/>
  <c r="F65" i="1"/>
  <c r="F64" i="1"/>
  <c r="F63" i="1"/>
  <c r="F59" i="1"/>
  <c r="F56" i="1"/>
  <c r="F55" i="1"/>
  <c r="F54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30" i="1"/>
  <c r="F29" i="1"/>
  <c r="F28" i="1"/>
  <c r="F27" i="1"/>
  <c r="F26" i="1"/>
  <c r="F25" i="1"/>
  <c r="F24" i="1"/>
  <c r="F23" i="1"/>
  <c r="F22" i="1"/>
  <c r="F21" i="1"/>
  <c r="F19" i="1"/>
  <c r="F17" i="1"/>
  <c r="F16" i="1"/>
  <c r="F15" i="1"/>
  <c r="F14" i="1"/>
  <c r="F13" i="1"/>
  <c r="F12" i="1"/>
  <c r="F11" i="1"/>
  <c r="F10" i="1"/>
  <c r="F9" i="1"/>
  <c r="F8" i="1"/>
  <c r="F7" i="1"/>
  <c r="F6" i="1"/>
  <c r="J2" i="1"/>
  <c r="F94" i="1" l="1"/>
  <c r="F95" i="1"/>
  <c r="F117" i="1"/>
  <c r="F116" i="1"/>
  <c r="F133" i="1"/>
  <c r="F81" i="1"/>
  <c r="F140" i="1"/>
  <c r="F83" i="1"/>
  <c r="G177" i="1" s="1"/>
  <c r="F103" i="1"/>
</calcChain>
</file>

<file path=xl/sharedStrings.xml><?xml version="1.0" encoding="utf-8"?>
<sst xmlns="http://schemas.openxmlformats.org/spreadsheetml/2006/main" count="605" uniqueCount="244">
  <si>
    <t xml:space="preserve">客户姓名：                     </t>
  </si>
  <si>
    <t>填表日期：</t>
  </si>
  <si>
    <t>工程地址：</t>
  </si>
  <si>
    <t>水岸壹号21-2-1201</t>
  </si>
  <si>
    <t>合同编号：</t>
  </si>
  <si>
    <t>序号</t>
  </si>
  <si>
    <t>项目名称</t>
  </si>
  <si>
    <t>数量</t>
  </si>
  <si>
    <t>单位</t>
  </si>
  <si>
    <t>单价</t>
  </si>
  <si>
    <t>合计</t>
  </si>
  <si>
    <t>说明</t>
  </si>
  <si>
    <t>品牌</t>
  </si>
  <si>
    <t>是否选购</t>
  </si>
  <si>
    <t>注意事项</t>
  </si>
  <si>
    <t>进度节点</t>
  </si>
  <si>
    <t>选购时间</t>
  </si>
  <si>
    <t>水电阶段</t>
  </si>
  <si>
    <t>设备</t>
  </si>
  <si>
    <t>项</t>
  </si>
  <si>
    <t>空调</t>
  </si>
  <si>
    <t>美的</t>
  </si>
  <si>
    <t>在方案操作时应已确认、标注</t>
  </si>
  <si>
    <t>采暖方案</t>
  </si>
  <si>
    <t>新风系统</t>
  </si>
  <si>
    <t>全屋净水</t>
  </si>
  <si>
    <t>安吉尔</t>
  </si>
  <si>
    <t>空间大师</t>
  </si>
  <si>
    <t>影音系统</t>
  </si>
  <si>
    <t>全屋智能</t>
  </si>
  <si>
    <t>易来</t>
  </si>
  <si>
    <t>台</t>
  </si>
  <si>
    <t>热水方案</t>
  </si>
  <si>
    <t>林内</t>
  </si>
  <si>
    <t>燃气热水器楼上型号</t>
  </si>
  <si>
    <t>个</t>
  </si>
  <si>
    <t>网络设备</t>
  </si>
  <si>
    <t>华为</t>
  </si>
  <si>
    <t>吸顶WIFI</t>
  </si>
  <si>
    <t>电梯/楼梯</t>
  </si>
  <si>
    <t>封阳台/阳光房/外门窗</t>
  </si>
  <si>
    <t>平方米</t>
  </si>
  <si>
    <t>在框架搭好、玻璃未装前，做好窗户外沿防水</t>
  </si>
  <si>
    <t>无特殊情况下，提前安排，在我司施工人员进场前施工完毕</t>
  </si>
  <si>
    <t>煤气表申请、安装</t>
  </si>
  <si>
    <t>燃气表、燃气热水器管道、阀门</t>
  </si>
  <si>
    <t>需带好相关身份证件，详细请咨询物业;确认 (采暖设备)煤气表容量的需求</t>
  </si>
  <si>
    <t>墙地砖完工之前</t>
  </si>
  <si>
    <t>特殊线路改造
（安防、监控等）</t>
  </si>
  <si>
    <t>安防、监控、可视电话</t>
  </si>
  <si>
    <t>入
智能
系统</t>
  </si>
  <si>
    <t>为确保后期售后服务，此项须经原厂家负责整改!根据图纸方案确认是否移位。</t>
  </si>
  <si>
    <t>入户监控</t>
  </si>
  <si>
    <t>强弱电开关、插座</t>
  </si>
  <si>
    <t>套</t>
  </si>
  <si>
    <t>智能包含</t>
  </si>
  <si>
    <t>如有特殊要求(连体、智能开关），须提前告知</t>
  </si>
  <si>
    <t>智能开关+普通插座</t>
  </si>
  <si>
    <t>安装阶段</t>
  </si>
  <si>
    <t>角阀</t>
  </si>
  <si>
    <t>潜水艇</t>
  </si>
  <si>
    <t>再次明确用水功能
(是否采用全屋净水）</t>
  </si>
  <si>
    <t>厨房水槽、洁具（选配）</t>
  </si>
  <si>
    <t>在方案操作前应已确认、备注</t>
  </si>
  <si>
    <t>橱柜水槽龙头</t>
  </si>
  <si>
    <t>配齐相关配件</t>
  </si>
  <si>
    <t>定制包含</t>
  </si>
  <si>
    <t>选购时再次确认设备功能；设备功能，更改或临时增减、入墙式龙头、水箱须在上下水布置前及时告知工程部信息及安排设备入场
注意:
1、是否有入墙式安装?
2、冰箱是否带自动制冰功能、嵌入式冰箱?
3、浴缸龙头是否是一体或落地?
4、淋浴房是否自带淋浴石基或整体淋浴房?
5、坐便器是否有特别功能?
6、是否单独预留高压水枪？</t>
  </si>
  <si>
    <t>零嵌式水箱</t>
  </si>
  <si>
    <t>卫生间台盆、龙头1.6米</t>
  </si>
  <si>
    <t>主卧</t>
  </si>
  <si>
    <t>卫生间台盆、龙头0.8米</t>
  </si>
  <si>
    <t>女儿房</t>
  </si>
  <si>
    <t>卫生间台盆、龙头1米</t>
  </si>
  <si>
    <t>客卫</t>
  </si>
  <si>
    <t>浴缸+龙头1.4米</t>
  </si>
  <si>
    <t>浪鲸</t>
  </si>
  <si>
    <t>主卫冲浪按摩恒温浴缸</t>
  </si>
  <si>
    <t>淋浴花洒</t>
  </si>
  <si>
    <t>淋浴房90*90钻石</t>
  </si>
  <si>
    <t>防爆玻璃</t>
  </si>
  <si>
    <t>米</t>
  </si>
  <si>
    <t>坐便器</t>
  </si>
  <si>
    <t>智能坐便</t>
  </si>
  <si>
    <t>拖把池、龙头</t>
  </si>
  <si>
    <t>网购</t>
  </si>
  <si>
    <t>高压水枪或马桶伴侣</t>
  </si>
  <si>
    <t>硬装电器（选配）</t>
  </si>
  <si>
    <t>卫浴线型风暖</t>
  </si>
  <si>
    <t>奥华</t>
  </si>
  <si>
    <t>卫浴排风</t>
  </si>
  <si>
    <t>卫浴线条灯</t>
  </si>
  <si>
    <t>洗碗机</t>
  </si>
  <si>
    <t>方太</t>
  </si>
  <si>
    <t>厨下垃圾处理器</t>
  </si>
  <si>
    <t>烟机灶具</t>
  </si>
  <si>
    <t>集成灶</t>
  </si>
  <si>
    <t>蒸箱（嵌入式）</t>
  </si>
  <si>
    <t>烤箱（嵌入式）</t>
  </si>
  <si>
    <t>微波炉（嵌入式）</t>
  </si>
  <si>
    <t>消毒柜（嵌入式）</t>
  </si>
  <si>
    <t>冰箱</t>
  </si>
  <si>
    <t>卡萨帝</t>
  </si>
  <si>
    <t>冰柜</t>
  </si>
  <si>
    <t>乐器</t>
  </si>
  <si>
    <t>管线机（嵌入式/壁挂）</t>
  </si>
  <si>
    <t>洗脱机（带基站）</t>
  </si>
  <si>
    <t>扫地机器人</t>
  </si>
  <si>
    <t>激光电视</t>
  </si>
  <si>
    <t>投影仪（吊装）</t>
  </si>
  <si>
    <t>幕布</t>
  </si>
  <si>
    <t>阅读灯</t>
  </si>
  <si>
    <t>壁灯</t>
  </si>
  <si>
    <t>壁挂洗衣机</t>
  </si>
  <si>
    <t>晾衣架（隐藏式）</t>
  </si>
  <si>
    <t>保险柜</t>
  </si>
  <si>
    <t>烘干机</t>
  </si>
  <si>
    <t>电子壁炉0.8米</t>
  </si>
  <si>
    <t>加湿器（壁挂）</t>
  </si>
  <si>
    <t>电热水器</t>
  </si>
  <si>
    <t>瓦木工阶段</t>
  </si>
  <si>
    <t>同期安排选购油漆相关产品</t>
  </si>
  <si>
    <t>如家具已选购，项目变更需考虑家具尺寸。</t>
  </si>
  <si>
    <t>厨房墙砖0.9*1.8</t>
  </si>
  <si>
    <t>块</t>
  </si>
  <si>
    <t>东鹏
蒙娜丽莎</t>
  </si>
  <si>
    <t>铺贴前请验收确认相关电源、开关位置；及特殊规格所产生的人工费差价。</t>
  </si>
  <si>
    <t>选样、订货时间
需在水电验收之前完成</t>
  </si>
  <si>
    <t>公卫墙砖0.75*1.5</t>
  </si>
  <si>
    <t>公卫地砖0.75*1.5</t>
  </si>
  <si>
    <t>主卫墙砖0.6*1.2</t>
  </si>
  <si>
    <t>主卫地砖0.6*1.2</t>
  </si>
  <si>
    <t>女儿房卫生间墙砖0.75*1.5</t>
  </si>
  <si>
    <t>女儿房卫生间地砖0.75*1.5</t>
  </si>
  <si>
    <t>地砖0.9*1.8</t>
  </si>
  <si>
    <t>瓷砖运输</t>
  </si>
  <si>
    <t>地漏</t>
  </si>
  <si>
    <t>杜纳特
潜水艇</t>
  </si>
  <si>
    <t>止逆阀</t>
  </si>
  <si>
    <t>全屋定制</t>
  </si>
  <si>
    <t>门</t>
  </si>
  <si>
    <t>造型套装门</t>
  </si>
  <si>
    <t>樘</t>
  </si>
  <si>
    <t>水性漆柜门，拼框工艺，芦花基材，实色进口肤感沃兰塔调色，柜体双饰面板，</t>
  </si>
  <si>
    <t>凯恩佳美</t>
  </si>
  <si>
    <t>确认门、线条尺寸、颜色</t>
  </si>
  <si>
    <t>全屋定制安装完毕后进场安装</t>
  </si>
  <si>
    <t>造型隐形门</t>
  </si>
  <si>
    <t>进户门口</t>
  </si>
  <si>
    <t>踢脚线</t>
  </si>
  <si>
    <t>厨房</t>
  </si>
  <si>
    <t>地柜</t>
  </si>
  <si>
    <t>延米</t>
  </si>
  <si>
    <t>吊柜</t>
  </si>
  <si>
    <t>吊柜底面见光板</t>
  </si>
  <si>
    <t>平米</t>
  </si>
  <si>
    <t>吊柜帽线</t>
  </si>
  <si>
    <t>高柜</t>
  </si>
  <si>
    <t>投影</t>
  </si>
  <si>
    <t>岛台</t>
  </si>
  <si>
    <t>天然大理石岩板厨房台面</t>
  </si>
  <si>
    <t>天然大理石岩板岛台台面</t>
  </si>
  <si>
    <t>洗菜盆</t>
  </si>
  <si>
    <t>诺蒂玛大单盆</t>
  </si>
  <si>
    <t>调味篮</t>
  </si>
  <si>
    <t>抽屉</t>
  </si>
  <si>
    <t>KN托底
全铝抽</t>
  </si>
  <si>
    <t>拉手</t>
  </si>
  <si>
    <t>灯带</t>
  </si>
  <si>
    <t>手扫开关</t>
  </si>
  <si>
    <t>变压器40w</t>
  </si>
  <si>
    <t>杰西</t>
  </si>
  <si>
    <t>餐边柜</t>
  </si>
  <si>
    <t>餐边柜吊柜</t>
  </si>
  <si>
    <t>高柜玻璃门</t>
  </si>
  <si>
    <t>天然大理石岩板台面</t>
  </si>
  <si>
    <t>变压器60w</t>
  </si>
  <si>
    <t>鞋柜及门厅</t>
  </si>
  <si>
    <t>鞋柜及门厅高柜</t>
  </si>
  <si>
    <t>弧形垭口</t>
  </si>
  <si>
    <t>弧形垭口角花</t>
  </si>
  <si>
    <t>玄关天然大理石爵士白</t>
  </si>
  <si>
    <t>地升脚</t>
  </si>
  <si>
    <t>过道柜</t>
  </si>
  <si>
    <t>壁炉天然大理石爵士白</t>
  </si>
  <si>
    <t>主卧室衣帽间</t>
  </si>
  <si>
    <t>衣柜</t>
  </si>
  <si>
    <t>书桌</t>
  </si>
  <si>
    <t>玻璃门差价</t>
  </si>
  <si>
    <t>书房</t>
  </si>
  <si>
    <t>柜子</t>
  </si>
  <si>
    <t>柱线</t>
  </si>
  <si>
    <t>吊柜玻璃门</t>
  </si>
  <si>
    <t>书桌造型门板</t>
  </si>
  <si>
    <t>粉色背板</t>
  </si>
  <si>
    <t>圆弧工艺费</t>
  </si>
  <si>
    <t>主卫浴室柜</t>
  </si>
  <si>
    <t>浴室柜</t>
  </si>
  <si>
    <t>镜柜</t>
  </si>
  <si>
    <t>大理石岩板台面</t>
  </si>
  <si>
    <t>龙头下水、盆</t>
  </si>
  <si>
    <t>公共浴室柜</t>
  </si>
  <si>
    <t>大理石岩板台面玉石</t>
  </si>
  <si>
    <t>次卫浴室柜</t>
  </si>
  <si>
    <t>墙板</t>
  </si>
  <si>
    <t>门厅墙板</t>
  </si>
  <si>
    <t>电视墙墙板</t>
  </si>
  <si>
    <t>走廊柜墙板</t>
  </si>
  <si>
    <t>铝扣板</t>
  </si>
  <si>
    <t>窗台板大理石</t>
  </si>
  <si>
    <t>天然大理石</t>
  </si>
  <si>
    <t>欧艺石材</t>
  </si>
  <si>
    <t>油漆阶段</t>
  </si>
  <si>
    <t>艺术漆/黑板漆./微水泥</t>
  </si>
  <si>
    <t>对基础工艺是否有特殊要求</t>
  </si>
  <si>
    <t>全屋定制安装前
施工完毕</t>
  </si>
  <si>
    <t>墙纸\壁布</t>
  </si>
  <si>
    <t>软硬包</t>
  </si>
  <si>
    <t>保洁</t>
  </si>
  <si>
    <t>建议分两次：开荒保洁、精保洁</t>
  </si>
  <si>
    <t>开荒保洁在全屋定制和地板安装之前。</t>
  </si>
  <si>
    <t>网络\电话\电视\信号开通</t>
  </si>
  <si>
    <t>建议电路安装时申请完毕</t>
  </si>
  <si>
    <t>窗帘</t>
  </si>
  <si>
    <t>电动窗帘在施工之前确认完毕</t>
  </si>
  <si>
    <t>筒射灯</t>
  </si>
  <si>
    <t>家具</t>
  </si>
  <si>
    <t>确认家具尺寸，如定购较早
需特别注意可能出现的、现场项目变更对家具摆放的影响</t>
  </si>
  <si>
    <t>装饰画等软装</t>
  </si>
  <si>
    <t>日期：                                                                                        日期：</t>
  </si>
  <si>
    <t>是</t>
  </si>
  <si>
    <t>小型家用电器</t>
    <phoneticPr fontId="17" type="noConversion"/>
  </si>
  <si>
    <r>
      <t>甲方（客户）：</t>
    </r>
    <r>
      <rPr>
        <sz val="16"/>
        <color theme="0" tint="-0.249977111117893"/>
        <rFont val="微软雅黑 Light"/>
        <charset val="134"/>
      </rPr>
      <t xml:space="preserve">签字  </t>
    </r>
    <r>
      <rPr>
        <sz val="16"/>
        <color theme="1"/>
        <rFont val="微软雅黑 Light"/>
        <charset val="134"/>
      </rPr>
      <t xml:space="preserve">                                                                  乙方（采购方）：</t>
    </r>
    <r>
      <rPr>
        <sz val="16"/>
        <color theme="0" tint="-0.249977111117893"/>
        <rFont val="微软雅黑 Light"/>
        <charset val="134"/>
      </rPr>
      <t>签字</t>
    </r>
    <phoneticPr fontId="17" type="noConversion"/>
  </si>
  <si>
    <t>装修主要材料选购进度表</t>
    <phoneticPr fontId="17" type="noConversion"/>
  </si>
  <si>
    <t>2025年12月20日前</t>
    <phoneticPr fontId="17" type="noConversion"/>
  </si>
  <si>
    <t>2026年5月1日前购买</t>
    <phoneticPr fontId="17" type="noConversion"/>
  </si>
  <si>
    <t>2025年12月20日前
确认品牌和型号
2026年9月1日前购买</t>
    <phoneticPr fontId="17" type="noConversion"/>
  </si>
  <si>
    <t>2026年9月1日前申请</t>
    <phoneticPr fontId="17" type="noConversion"/>
  </si>
  <si>
    <t xml:space="preserve">2025年12月20日前购买
</t>
    <phoneticPr fontId="17" type="noConversion"/>
  </si>
  <si>
    <t>2026年4月1日前
确认品牌和型号
2026年5月1日前购买下单</t>
    <phoneticPr fontId="17" type="noConversion"/>
  </si>
  <si>
    <t>2026年5月1日前购买下单</t>
    <phoneticPr fontId="17" type="noConversion"/>
  </si>
  <si>
    <t>2026年3月1日前购买下单</t>
    <phoneticPr fontId="17" type="noConversion"/>
  </si>
  <si>
    <t>2026年7月1日前购买下单</t>
    <phoneticPr fontId="17" type="noConversion"/>
  </si>
  <si>
    <t>2026年9月1日前购买下单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</si>
</sst>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[$-F800]dddd\,\ mmmm\ dd\,\ yyyy"/>
    <numFmt numFmtId="178" formatCode="#"/>
    <numFmt numFmtId="179" formatCode="&quot;总&quot;&quot;计&quot;&quot;：&quot;0&quot;元&quot;"/>
  </numFmts>
  <fonts count="22" x14ac:knownFonts="1">
    <font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30"/>
      <color theme="1"/>
      <name val="微软雅黑 Light"/>
      <charset val="134"/>
    </font>
    <font>
      <sz val="12"/>
      <name val="微软雅黑 Light"/>
      <charset val="134"/>
    </font>
    <font>
      <b/>
      <sz val="8"/>
      <color theme="0"/>
      <name val="微软雅黑 Light"/>
      <charset val="134"/>
    </font>
    <font>
      <b/>
      <sz val="16"/>
      <color theme="1"/>
      <name val="微软雅黑 Light"/>
      <charset val="134"/>
    </font>
    <font>
      <b/>
      <sz val="9"/>
      <color theme="1"/>
      <name val="微软雅黑 Light"/>
      <charset val="134"/>
    </font>
    <font>
      <sz val="10"/>
      <color theme="1"/>
      <name val="微软雅黑 Light"/>
      <charset val="134"/>
    </font>
    <font>
      <sz val="8"/>
      <color theme="1"/>
      <name val="微软雅黑 Light"/>
      <charset val="134"/>
    </font>
    <font>
      <b/>
      <sz val="8"/>
      <color rgb="FFFF0000"/>
      <name val="微软雅黑 Light"/>
      <charset val="134"/>
    </font>
    <font>
      <sz val="8"/>
      <name val="微软雅黑 Light"/>
      <charset val="134"/>
    </font>
    <font>
      <b/>
      <sz val="10"/>
      <color theme="1"/>
      <name val="微软雅黑 Light"/>
      <charset val="134"/>
    </font>
    <font>
      <b/>
      <sz val="12"/>
      <color theme="1"/>
      <name val="微软雅黑 Light"/>
      <charset val="134"/>
    </font>
    <font>
      <b/>
      <i/>
      <sz val="20"/>
      <name val="微软雅黑"/>
      <charset val="134"/>
    </font>
    <font>
      <sz val="16"/>
      <color theme="1"/>
      <name val="微软雅黑 Light"/>
      <charset val="134"/>
    </font>
    <font>
      <sz val="12"/>
      <name val="Times New Roman"/>
      <family val="1"/>
    </font>
    <font>
      <sz val="16"/>
      <color theme="0" tint="-0.249977111117893"/>
      <name val="微软雅黑 Light"/>
      <charset val="134"/>
    </font>
    <font>
      <sz val="9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sz val="16"/>
      <color theme="1"/>
      <name val="微软雅黑 Light"/>
      <family val="2"/>
      <charset val="134"/>
    </font>
    <font>
      <sz val="30"/>
      <color theme="1"/>
      <name val="微软雅黑 Light"/>
      <family val="2"/>
      <charset val="134"/>
    </font>
    <font>
      <sz val="8"/>
      <color theme="1"/>
      <name val="微软雅黑 Light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99FF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/>
      <bottom style="double">
        <color theme="1"/>
      </bottom>
      <diagonal/>
    </border>
    <border>
      <left style="thin">
        <color auto="1"/>
      </left>
      <right style="thin">
        <color auto="1"/>
      </right>
      <top/>
      <bottom style="double">
        <color theme="1"/>
      </bottom>
      <diagonal/>
    </border>
    <border>
      <left style="thin">
        <color auto="1"/>
      </left>
      <right/>
      <top/>
      <bottom style="double">
        <color theme="1"/>
      </bottom>
      <diagonal/>
    </border>
    <border>
      <left/>
      <right/>
      <top style="double">
        <color theme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ashDotDot">
        <color theme="0" tint="-0.499984740745262"/>
      </right>
      <top style="thin">
        <color auto="1"/>
      </top>
      <bottom style="dashDotDot">
        <color theme="0" tint="-0.499984740745262"/>
      </bottom>
      <diagonal/>
    </border>
    <border>
      <left style="dashDotDot">
        <color theme="0" tint="-0.499984740745262"/>
      </left>
      <right style="dashDotDot">
        <color theme="0" tint="-0.499984740745262"/>
      </right>
      <top style="thin">
        <color auto="1"/>
      </top>
      <bottom style="dashDotDot">
        <color theme="0" tint="-0.499984740745262"/>
      </bottom>
      <diagonal/>
    </border>
    <border>
      <left style="dashDotDot">
        <color theme="0" tint="-0.499984740745262"/>
      </left>
      <right style="dashDotDot">
        <color theme="0" tint="-0.499984740745262"/>
      </right>
      <top style="dashDotDot">
        <color theme="0" tint="-0.499984740745262"/>
      </top>
      <bottom style="dashDotDot">
        <color theme="0" tint="-0.499984740745262"/>
      </bottom>
      <diagonal/>
    </border>
    <border>
      <left style="dashDotDot">
        <color theme="0" tint="-0.499984740745262"/>
      </left>
      <right/>
      <top style="thin">
        <color auto="1"/>
      </top>
      <bottom style="dashDotDot">
        <color theme="0" tint="-0.499984740745262"/>
      </bottom>
      <diagonal/>
    </border>
    <border>
      <left/>
      <right style="dashDotDot">
        <color theme="0" tint="-0.499984740745262"/>
      </right>
      <top style="dashDotDot">
        <color theme="0" tint="-0.499984740745262"/>
      </top>
      <bottom style="dashDotDot">
        <color theme="0" tint="-0.499984740745262"/>
      </bottom>
      <diagonal/>
    </border>
    <border>
      <left style="dashDotDot">
        <color theme="0" tint="-0.499984740745262"/>
      </left>
      <right/>
      <top style="dashDotDot">
        <color theme="0" tint="-0.499984740745262"/>
      </top>
      <bottom style="dashDotDot">
        <color theme="0" tint="-0.499984740745262"/>
      </bottom>
      <diagonal/>
    </border>
    <border>
      <left style="dashDotDot">
        <color theme="0" tint="-0.499984740745262"/>
      </left>
      <right style="dashDotDot">
        <color theme="0" tint="-0.499984740745262"/>
      </right>
      <top style="dashDotDot">
        <color theme="0" tint="-0.499984740745262"/>
      </top>
      <bottom/>
      <diagonal/>
    </border>
    <border>
      <left/>
      <right/>
      <top style="dashDotDot">
        <color theme="0" tint="-0.499984740745262"/>
      </top>
      <bottom style="dashDotDot">
        <color theme="0" tint="-0.499984740745262"/>
      </bottom>
      <diagonal/>
    </border>
    <border>
      <left/>
      <right style="dashDotDot">
        <color theme="0" tint="-0.499984740745262"/>
      </right>
      <top style="dashDotDot">
        <color theme="0" tint="-0.499984740745262"/>
      </top>
      <bottom/>
      <diagonal/>
    </border>
    <border>
      <left style="dashDotDot">
        <color theme="0" tint="-0.499984740745262"/>
      </left>
      <right/>
      <top style="dashDotDot">
        <color theme="0" tint="-0.499984740745262"/>
      </top>
      <bottom/>
      <diagonal/>
    </border>
    <border>
      <left/>
      <right style="dashDotDot">
        <color theme="0" tint="-0.499984740745262"/>
      </right>
      <top/>
      <bottom/>
      <diagonal/>
    </border>
    <border>
      <left style="dashDotDot">
        <color theme="0" tint="-0.499984740745262"/>
      </left>
      <right style="dashDotDot">
        <color theme="0" tint="-0.499984740745262"/>
      </right>
      <top/>
      <bottom/>
      <diagonal/>
    </border>
    <border>
      <left style="dashDotDot">
        <color theme="0" tint="-0.499984740745262"/>
      </left>
      <right/>
      <top/>
      <bottom/>
      <diagonal/>
    </border>
    <border>
      <left style="dashDotDot">
        <color theme="0" tint="-0.499984740745262"/>
      </left>
      <right style="dashDotDot">
        <color theme="0" tint="-0.499984740745262"/>
      </right>
      <top/>
      <bottom style="dashDotDot">
        <color theme="0" tint="-0.499984740745262"/>
      </bottom>
      <diagonal/>
    </border>
    <border>
      <left style="dashDotDot">
        <color theme="0" tint="-0.499984740745262"/>
      </left>
      <right/>
      <top/>
      <bottom style="dashDotDot">
        <color theme="0" tint="-0.499984740745262"/>
      </bottom>
      <diagonal/>
    </border>
    <border>
      <left/>
      <right style="dashDotDot">
        <color theme="0" tint="-0.499984740745262"/>
      </right>
      <top/>
      <bottom style="dashDotDot">
        <color theme="0" tint="-0.499984740745262"/>
      </bottom>
      <diagonal/>
    </border>
    <border>
      <left/>
      <right/>
      <top style="dashDotDot">
        <color theme="0" tint="-0.499984740745262"/>
      </top>
      <bottom/>
      <diagonal/>
    </border>
    <border>
      <left/>
      <right/>
      <top/>
      <bottom style="dashDotDot">
        <color theme="0" tint="-0.499984740745262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15" fillId="0" borderId="0"/>
  </cellStyleXfs>
  <cellXfs count="117">
    <xf numFmtId="0" fontId="0" fillId="0" borderId="0" xfId="0">
      <alignment vertical="center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Protection="1">
      <alignment vertical="center"/>
      <protection locked="0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176" fontId="7" fillId="0" borderId="12" xfId="0" applyNumberFormat="1" applyFont="1" applyBorder="1" applyAlignment="1">
      <alignment horizontal="center" vertical="center" wrapText="1"/>
    </xf>
    <xf numFmtId="178" fontId="7" fillId="0" borderId="12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5" borderId="12" xfId="0" applyFont="1" applyFill="1" applyBorder="1" applyAlignment="1">
      <alignment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8" fillId="8" borderId="15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left" vertical="top" wrapText="1"/>
    </xf>
    <xf numFmtId="0" fontId="8" fillId="3" borderId="1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176" fontId="7" fillId="0" borderId="16" xfId="0" applyNumberFormat="1" applyFont="1" applyBorder="1" applyAlignment="1">
      <alignment horizontal="center" vertical="center" wrapText="1"/>
    </xf>
    <xf numFmtId="178" fontId="7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79" fontId="13" fillId="6" borderId="28" xfId="0" applyNumberFormat="1" applyFont="1" applyFill="1" applyBorder="1" applyAlignment="1">
      <alignment vertical="center" wrapText="1"/>
    </xf>
    <xf numFmtId="177" fontId="3" fillId="0" borderId="0" xfId="0" applyNumberFormat="1" applyFont="1" applyAlignment="1">
      <alignment horizontal="center" vertical="center"/>
    </xf>
    <xf numFmtId="0" fontId="18" fillId="0" borderId="12" xfId="0" applyFont="1" applyBorder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11" borderId="15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 wrapText="1"/>
    </xf>
    <xf numFmtId="0" fontId="8" fillId="9" borderId="22" xfId="0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 wrapText="1"/>
    </xf>
    <xf numFmtId="0" fontId="21" fillId="9" borderId="22" xfId="0" applyFont="1" applyFill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10" borderId="17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7" borderId="19" xfId="0" applyFont="1" applyFill="1" applyBorder="1" applyAlignment="1">
      <alignment horizontal="center" vertical="center" wrapText="1"/>
    </xf>
    <xf numFmtId="0" fontId="21" fillId="7" borderId="22" xfId="0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right" vertical="center" wrapText="1"/>
    </xf>
    <xf numFmtId="179" fontId="13" fillId="6" borderId="28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textRotation="255" wrapText="1"/>
    </xf>
    <xf numFmtId="0" fontId="12" fillId="0" borderId="20" xfId="0" applyFont="1" applyBorder="1" applyAlignment="1">
      <alignment horizontal="center" vertical="center" textRotation="255" wrapText="1"/>
    </xf>
    <xf numFmtId="0" fontId="12" fillId="0" borderId="25" xfId="0" applyFont="1" applyBorder="1" applyAlignment="1">
      <alignment horizontal="center" vertical="center" textRotation="255" wrapText="1"/>
    </xf>
    <xf numFmtId="0" fontId="12" fillId="0" borderId="26" xfId="0" applyFont="1" applyBorder="1" applyAlignment="1">
      <alignment horizontal="center" vertical="center" textRotation="255" wrapText="1"/>
    </xf>
    <xf numFmtId="0" fontId="12" fillId="0" borderId="0" xfId="0" applyFont="1" applyAlignment="1">
      <alignment horizontal="center" vertical="center" textRotation="255" wrapText="1"/>
    </xf>
    <xf numFmtId="0" fontId="12" fillId="0" borderId="27" xfId="0" applyFont="1" applyBorder="1" applyAlignment="1">
      <alignment horizontal="center" vertical="center" textRotation="255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justify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2">
    <cellStyle name="_ET_STYLE_NoName_00_" xfId="1" xr:uid="{00000000-0005-0000-0000-000031000000}"/>
    <cellStyle name="常规" xfId="0" builtinId="0"/>
  </cellStyles>
  <dxfs count="0"/>
  <tableStyles count="0" defaultTableStyle="TableStyleMedium2" defaultPivotStyle="PivotStyleLight16"/>
  <colors>
    <mruColors>
      <color rgb="FFCCCCFF"/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1"/>
  <sheetViews>
    <sheetView tabSelected="1" view="pageBreakPreview" topLeftCell="A167" zoomScale="145" zoomScaleNormal="145" zoomScaleSheetLayoutView="145" workbookViewId="0">
      <selection activeCell="L185" sqref="L185"/>
    </sheetView>
  </sheetViews>
  <sheetFormatPr defaultColWidth="9" defaultRowHeight="14.25" x14ac:dyDescent="0.2"/>
  <cols>
    <col min="1" max="1" width="4.625" style="4" customWidth="1"/>
    <col min="2" max="2" width="20.625" style="5" customWidth="1"/>
    <col min="3" max="4" width="8.625" style="4" customWidth="1"/>
    <col min="5" max="5" width="8.625" style="6" customWidth="1"/>
    <col min="6" max="6" width="8.625" style="4" customWidth="1"/>
    <col min="7" max="7" width="15.625" style="7" customWidth="1"/>
    <col min="8" max="9" width="8.625" style="4" customWidth="1"/>
    <col min="10" max="11" width="20.625" style="3" customWidth="1"/>
    <col min="12" max="12" width="20.625" style="8" customWidth="1"/>
    <col min="13" max="16384" width="9" style="5"/>
  </cols>
  <sheetData>
    <row r="1" spans="1:12" s="1" customFormat="1" ht="50.1" customHeight="1" x14ac:dyDescent="0.2">
      <c r="A1" s="68" t="s">
        <v>233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70"/>
    </row>
    <row r="2" spans="1:12" s="2" customFormat="1" ht="45" customHeight="1" x14ac:dyDescent="0.2">
      <c r="A2" s="9" t="s">
        <v>0</v>
      </c>
      <c r="B2" s="9"/>
      <c r="C2" s="71"/>
      <c r="D2" s="71"/>
      <c r="E2" s="71"/>
      <c r="F2" s="71"/>
      <c r="G2" s="71"/>
      <c r="H2" s="10"/>
      <c r="I2" s="56" t="s">
        <v>1</v>
      </c>
      <c r="J2" s="72">
        <f ca="1">TODAY()</f>
        <v>46004</v>
      </c>
      <c r="K2" s="72"/>
      <c r="L2" s="72"/>
    </row>
    <row r="3" spans="1:12" s="2" customFormat="1" ht="45" customHeight="1" x14ac:dyDescent="0.2">
      <c r="A3" s="11" t="s">
        <v>2</v>
      </c>
      <c r="B3" s="11"/>
      <c r="C3" s="73" t="s">
        <v>3</v>
      </c>
      <c r="D3" s="73"/>
      <c r="E3" s="73"/>
      <c r="F3" s="73"/>
      <c r="G3" s="73"/>
      <c r="H3" s="10"/>
      <c r="I3" s="10" t="s">
        <v>4</v>
      </c>
      <c r="J3" s="74"/>
      <c r="K3" s="74"/>
      <c r="L3" s="74"/>
    </row>
    <row r="4" spans="1:12" s="1" customFormat="1" ht="15" customHeight="1" x14ac:dyDescent="0.2">
      <c r="A4" s="12" t="s">
        <v>5</v>
      </c>
      <c r="B4" s="13" t="s">
        <v>6</v>
      </c>
      <c r="C4" s="13" t="s">
        <v>7</v>
      </c>
      <c r="D4" s="13" t="s">
        <v>8</v>
      </c>
      <c r="E4" s="14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3" t="s">
        <v>14</v>
      </c>
      <c r="K4" s="13" t="s">
        <v>15</v>
      </c>
      <c r="L4" s="15" t="s">
        <v>16</v>
      </c>
    </row>
    <row r="5" spans="1:12" ht="24.95" customHeight="1" x14ac:dyDescent="0.2">
      <c r="A5" s="75" t="s">
        <v>17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 s="3" customFormat="1" ht="24.95" customHeight="1" x14ac:dyDescent="0.2">
      <c r="A6" s="94">
        <v>1</v>
      </c>
      <c r="B6" s="102" t="s">
        <v>18</v>
      </c>
      <c r="C6" s="17">
        <v>1</v>
      </c>
      <c r="D6" s="17" t="s">
        <v>19</v>
      </c>
      <c r="E6" s="18">
        <v>2500</v>
      </c>
      <c r="F6" s="19">
        <f>E6*C6</f>
        <v>2500</v>
      </c>
      <c r="G6" s="16" t="s">
        <v>20</v>
      </c>
      <c r="H6" s="20" t="s">
        <v>21</v>
      </c>
      <c r="I6" s="20" t="s">
        <v>230</v>
      </c>
      <c r="J6" s="21"/>
      <c r="K6" s="81" t="s">
        <v>22</v>
      </c>
      <c r="L6" s="110" t="s">
        <v>236</v>
      </c>
    </row>
    <row r="7" spans="1:12" s="3" customFormat="1" ht="24.95" customHeight="1" x14ac:dyDescent="0.2">
      <c r="A7" s="95"/>
      <c r="B7" s="103"/>
      <c r="C7" s="17"/>
      <c r="D7" s="17" t="s">
        <v>19</v>
      </c>
      <c r="E7" s="18"/>
      <c r="F7" s="19">
        <f>E7*C7</f>
        <v>0</v>
      </c>
      <c r="G7" s="23" t="s">
        <v>23</v>
      </c>
      <c r="H7" s="17"/>
      <c r="I7" s="17"/>
      <c r="J7" s="25"/>
      <c r="K7" s="82"/>
      <c r="L7" s="111"/>
    </row>
    <row r="8" spans="1:12" s="3" customFormat="1" ht="24.95" customHeight="1" x14ac:dyDescent="0.2">
      <c r="A8" s="95"/>
      <c r="B8" s="103"/>
      <c r="C8" s="17"/>
      <c r="D8" s="17" t="s">
        <v>19</v>
      </c>
      <c r="E8" s="18"/>
      <c r="F8" s="19">
        <f t="shared" ref="F8:F17" si="0">E8*C8</f>
        <v>0</v>
      </c>
      <c r="G8" s="23" t="s">
        <v>24</v>
      </c>
      <c r="H8" s="17"/>
      <c r="I8" s="17"/>
      <c r="J8" s="25"/>
      <c r="K8" s="82"/>
      <c r="L8" s="111"/>
    </row>
    <row r="9" spans="1:12" s="3" customFormat="1" ht="24.95" customHeight="1" x14ac:dyDescent="0.2">
      <c r="A9" s="95"/>
      <c r="B9" s="103"/>
      <c r="C9" s="17">
        <v>1</v>
      </c>
      <c r="D9" s="17" t="s">
        <v>19</v>
      </c>
      <c r="E9" s="18">
        <v>9800</v>
      </c>
      <c r="F9" s="19">
        <f t="shared" si="0"/>
        <v>9800</v>
      </c>
      <c r="G9" s="23" t="s">
        <v>25</v>
      </c>
      <c r="H9" s="27" t="s">
        <v>26</v>
      </c>
      <c r="I9" s="17" t="s">
        <v>230</v>
      </c>
      <c r="J9" s="25" t="s">
        <v>27</v>
      </c>
      <c r="K9" s="82"/>
      <c r="L9" s="111"/>
    </row>
    <row r="10" spans="1:12" s="3" customFormat="1" ht="24.95" customHeight="1" x14ac:dyDescent="0.2">
      <c r="A10" s="95"/>
      <c r="B10" s="103"/>
      <c r="C10" s="17"/>
      <c r="D10" s="17" t="s">
        <v>19</v>
      </c>
      <c r="E10" s="18"/>
      <c r="F10" s="19">
        <f t="shared" si="0"/>
        <v>0</v>
      </c>
      <c r="G10" s="23" t="s">
        <v>28</v>
      </c>
      <c r="H10" s="17"/>
      <c r="I10" s="17"/>
      <c r="J10" s="25"/>
      <c r="K10" s="82"/>
      <c r="L10" s="111"/>
    </row>
    <row r="11" spans="1:12" s="3" customFormat="1" ht="24.95" customHeight="1" x14ac:dyDescent="0.2">
      <c r="A11" s="95"/>
      <c r="B11" s="103"/>
      <c r="C11" s="17">
        <v>1</v>
      </c>
      <c r="D11" s="17" t="s">
        <v>19</v>
      </c>
      <c r="E11" s="18">
        <v>30000</v>
      </c>
      <c r="F11" s="19">
        <f t="shared" si="0"/>
        <v>30000</v>
      </c>
      <c r="G11" s="23" t="s">
        <v>29</v>
      </c>
      <c r="H11" s="17" t="s">
        <v>30</v>
      </c>
      <c r="I11" s="17" t="s">
        <v>230</v>
      </c>
      <c r="J11" s="25"/>
      <c r="K11" s="82"/>
      <c r="L11" s="111"/>
    </row>
    <row r="12" spans="1:12" s="3" customFormat="1" ht="24.95" customHeight="1" x14ac:dyDescent="0.2">
      <c r="A12" s="95"/>
      <c r="B12" s="103"/>
      <c r="C12" s="17">
        <v>1</v>
      </c>
      <c r="D12" s="17" t="s">
        <v>31</v>
      </c>
      <c r="E12" s="18">
        <v>7800</v>
      </c>
      <c r="F12" s="19">
        <f t="shared" si="0"/>
        <v>7800</v>
      </c>
      <c r="G12" s="23" t="s">
        <v>32</v>
      </c>
      <c r="H12" s="17" t="s">
        <v>33</v>
      </c>
      <c r="I12" s="17" t="s">
        <v>230</v>
      </c>
      <c r="J12" s="28" t="s">
        <v>34</v>
      </c>
      <c r="K12" s="82"/>
      <c r="L12" s="111"/>
    </row>
    <row r="13" spans="1:12" s="3" customFormat="1" ht="24.95" customHeight="1" x14ac:dyDescent="0.2">
      <c r="A13" s="95"/>
      <c r="B13" s="103"/>
      <c r="C13" s="17">
        <v>4</v>
      </c>
      <c r="D13" s="17" t="s">
        <v>35</v>
      </c>
      <c r="E13" s="18">
        <v>398</v>
      </c>
      <c r="F13" s="19">
        <f t="shared" si="0"/>
        <v>1592</v>
      </c>
      <c r="G13" s="23" t="s">
        <v>36</v>
      </c>
      <c r="H13" s="17" t="s">
        <v>37</v>
      </c>
      <c r="I13" s="17" t="s">
        <v>230</v>
      </c>
      <c r="J13" s="25" t="s">
        <v>38</v>
      </c>
      <c r="K13" s="82"/>
      <c r="L13" s="111"/>
    </row>
    <row r="14" spans="1:12" s="3" customFormat="1" ht="24.95" customHeight="1" x14ac:dyDescent="0.2">
      <c r="A14" s="95"/>
      <c r="B14" s="103"/>
      <c r="C14" s="17"/>
      <c r="D14" s="17" t="s">
        <v>19</v>
      </c>
      <c r="E14" s="18"/>
      <c r="F14" s="19">
        <f t="shared" si="0"/>
        <v>0</v>
      </c>
      <c r="G14" s="23" t="s">
        <v>39</v>
      </c>
      <c r="H14" s="17"/>
      <c r="I14" s="17"/>
      <c r="J14" s="25"/>
      <c r="K14" s="82"/>
      <c r="L14" s="111"/>
    </row>
    <row r="15" spans="1:12" s="3" customFormat="1" ht="60" customHeight="1" x14ac:dyDescent="0.2">
      <c r="A15" s="22">
        <v>2</v>
      </c>
      <c r="B15" s="23" t="s">
        <v>40</v>
      </c>
      <c r="C15" s="17">
        <v>10</v>
      </c>
      <c r="D15" s="17" t="s">
        <v>41</v>
      </c>
      <c r="E15" s="18">
        <v>1000</v>
      </c>
      <c r="F15" s="19">
        <f t="shared" si="0"/>
        <v>10000</v>
      </c>
      <c r="G15" s="29"/>
      <c r="H15" s="30"/>
      <c r="I15" s="30" t="s">
        <v>230</v>
      </c>
      <c r="J15" s="31" t="s">
        <v>42</v>
      </c>
      <c r="K15" s="31" t="s">
        <v>43</v>
      </c>
      <c r="L15" s="58" t="s">
        <v>234</v>
      </c>
    </row>
    <row r="16" spans="1:12" s="3" customFormat="1" ht="60" customHeight="1" x14ac:dyDescent="0.2">
      <c r="A16" s="22">
        <v>3</v>
      </c>
      <c r="B16" s="23" t="s">
        <v>44</v>
      </c>
      <c r="C16" s="17"/>
      <c r="D16" s="17" t="s">
        <v>19</v>
      </c>
      <c r="E16" s="18"/>
      <c r="F16" s="19">
        <f t="shared" si="0"/>
        <v>0</v>
      </c>
      <c r="G16" s="32" t="s">
        <v>45</v>
      </c>
      <c r="H16" s="17"/>
      <c r="I16" s="17"/>
      <c r="J16" s="31" t="s">
        <v>46</v>
      </c>
      <c r="K16" s="31" t="s">
        <v>47</v>
      </c>
      <c r="L16" s="61" t="s">
        <v>237</v>
      </c>
    </row>
    <row r="17" spans="1:12" s="3" customFormat="1" ht="60" customHeight="1" x14ac:dyDescent="0.2">
      <c r="A17" s="22">
        <v>4</v>
      </c>
      <c r="B17" s="23" t="s">
        <v>48</v>
      </c>
      <c r="C17" s="17">
        <v>1</v>
      </c>
      <c r="D17" s="17" t="s">
        <v>19</v>
      </c>
      <c r="E17" s="18">
        <v>580</v>
      </c>
      <c r="F17" s="19">
        <f t="shared" si="0"/>
        <v>580</v>
      </c>
      <c r="G17" s="32" t="s">
        <v>49</v>
      </c>
      <c r="H17" s="17" t="s">
        <v>50</v>
      </c>
      <c r="I17" s="17" t="s">
        <v>230</v>
      </c>
      <c r="J17" s="31" t="s">
        <v>51</v>
      </c>
      <c r="K17" s="31" t="s">
        <v>52</v>
      </c>
      <c r="L17" s="58" t="s">
        <v>236</v>
      </c>
    </row>
    <row r="18" spans="1:12" s="3" customFormat="1" ht="60" customHeight="1" x14ac:dyDescent="0.2">
      <c r="A18" s="22">
        <v>5</v>
      </c>
      <c r="B18" s="23" t="s">
        <v>53</v>
      </c>
      <c r="C18" s="17"/>
      <c r="D18" s="17" t="s">
        <v>54</v>
      </c>
      <c r="E18" s="18"/>
      <c r="F18" s="17"/>
      <c r="G18" s="32"/>
      <c r="H18" s="17" t="s">
        <v>55</v>
      </c>
      <c r="I18" s="17" t="s">
        <v>230</v>
      </c>
      <c r="J18" s="31" t="s">
        <v>56</v>
      </c>
      <c r="K18" s="31" t="s">
        <v>57</v>
      </c>
      <c r="L18" s="60" t="s">
        <v>235</v>
      </c>
    </row>
    <row r="19" spans="1:12" s="3" customFormat="1" ht="60" customHeight="1" x14ac:dyDescent="0.2">
      <c r="A19" s="22">
        <v>6</v>
      </c>
      <c r="B19" s="23" t="s">
        <v>59</v>
      </c>
      <c r="C19" s="17">
        <v>13</v>
      </c>
      <c r="D19" s="17" t="s">
        <v>35</v>
      </c>
      <c r="E19" s="18">
        <v>65</v>
      </c>
      <c r="F19" s="17">
        <f>E19*C19</f>
        <v>845</v>
      </c>
      <c r="G19" s="32"/>
      <c r="H19" s="17" t="s">
        <v>60</v>
      </c>
      <c r="I19" s="17" t="s">
        <v>230</v>
      </c>
      <c r="J19" s="35" t="s">
        <v>61</v>
      </c>
      <c r="K19" s="31"/>
      <c r="L19" s="59" t="s">
        <v>235</v>
      </c>
    </row>
    <row r="20" spans="1:12" ht="24.95" customHeight="1" x14ac:dyDescent="0.2">
      <c r="A20" s="77" t="s">
        <v>62</v>
      </c>
      <c r="B20" s="77"/>
      <c r="C20" s="77"/>
      <c r="D20" s="77"/>
      <c r="E20" s="77"/>
      <c r="F20" s="77"/>
      <c r="G20" s="77"/>
      <c r="H20" s="77"/>
      <c r="I20" s="77"/>
      <c r="J20" s="78"/>
      <c r="K20" s="37" t="s">
        <v>63</v>
      </c>
      <c r="L20" s="34" t="s">
        <v>58</v>
      </c>
    </row>
    <row r="21" spans="1:12" ht="24.95" customHeight="1" x14ac:dyDescent="0.2">
      <c r="A21" s="22">
        <v>1</v>
      </c>
      <c r="B21" s="24" t="s">
        <v>64</v>
      </c>
      <c r="C21" s="17">
        <v>1</v>
      </c>
      <c r="D21" s="17" t="s">
        <v>54</v>
      </c>
      <c r="E21" s="18"/>
      <c r="F21" s="19">
        <f>E21*C21</f>
        <v>0</v>
      </c>
      <c r="G21" s="103" t="s">
        <v>65</v>
      </c>
      <c r="H21" s="17" t="s">
        <v>66</v>
      </c>
      <c r="I21" s="17" t="s">
        <v>230</v>
      </c>
      <c r="J21" s="113" t="s">
        <v>67</v>
      </c>
      <c r="K21" s="27"/>
      <c r="L21" s="60" t="s">
        <v>235</v>
      </c>
    </row>
    <row r="22" spans="1:12" ht="24.95" customHeight="1" x14ac:dyDescent="0.2">
      <c r="A22" s="22">
        <v>2</v>
      </c>
      <c r="B22" s="24" t="s">
        <v>68</v>
      </c>
      <c r="C22" s="17"/>
      <c r="D22" s="17" t="s">
        <v>54</v>
      </c>
      <c r="E22" s="18"/>
      <c r="F22" s="19">
        <f t="shared" ref="F22:F31" si="1">E22*C22</f>
        <v>0</v>
      </c>
      <c r="G22" s="103"/>
      <c r="H22" s="17"/>
      <c r="I22" s="17"/>
      <c r="J22" s="113"/>
      <c r="K22" s="27"/>
      <c r="L22" s="84" t="s">
        <v>236</v>
      </c>
    </row>
    <row r="23" spans="1:12" ht="24.95" customHeight="1" x14ac:dyDescent="0.2">
      <c r="A23" s="22">
        <v>3</v>
      </c>
      <c r="B23" s="24" t="s">
        <v>69</v>
      </c>
      <c r="C23" s="17">
        <v>1</v>
      </c>
      <c r="D23" s="17" t="s">
        <v>54</v>
      </c>
      <c r="E23" s="18"/>
      <c r="F23" s="19">
        <f t="shared" si="1"/>
        <v>0</v>
      </c>
      <c r="G23" s="103"/>
      <c r="H23" s="17" t="s">
        <v>66</v>
      </c>
      <c r="I23" s="17" t="s">
        <v>230</v>
      </c>
      <c r="J23" s="113"/>
      <c r="K23" s="27" t="s">
        <v>70</v>
      </c>
      <c r="L23" s="85"/>
    </row>
    <row r="24" spans="1:12" ht="24.95" customHeight="1" x14ac:dyDescent="0.2">
      <c r="A24" s="22">
        <v>4</v>
      </c>
      <c r="B24" s="24" t="s">
        <v>71</v>
      </c>
      <c r="C24" s="17">
        <v>1</v>
      </c>
      <c r="D24" s="17" t="s">
        <v>54</v>
      </c>
      <c r="E24" s="18"/>
      <c r="F24" s="19">
        <f t="shared" si="1"/>
        <v>0</v>
      </c>
      <c r="G24" s="103"/>
      <c r="H24" s="17" t="s">
        <v>66</v>
      </c>
      <c r="I24" s="17" t="s">
        <v>230</v>
      </c>
      <c r="J24" s="113"/>
      <c r="K24" s="27" t="s">
        <v>72</v>
      </c>
      <c r="L24" s="85"/>
    </row>
    <row r="25" spans="1:12" ht="24.95" customHeight="1" x14ac:dyDescent="0.2">
      <c r="A25" s="22">
        <v>5</v>
      </c>
      <c r="B25" s="24" t="s">
        <v>73</v>
      </c>
      <c r="C25" s="17">
        <v>1</v>
      </c>
      <c r="D25" s="17" t="s">
        <v>54</v>
      </c>
      <c r="E25" s="18"/>
      <c r="F25" s="19">
        <f t="shared" si="1"/>
        <v>0</v>
      </c>
      <c r="G25" s="103"/>
      <c r="H25" s="17" t="s">
        <v>66</v>
      </c>
      <c r="I25" s="17" t="s">
        <v>230</v>
      </c>
      <c r="J25" s="113"/>
      <c r="K25" s="27" t="s">
        <v>74</v>
      </c>
      <c r="L25" s="85"/>
    </row>
    <row r="26" spans="1:12" ht="24.95" customHeight="1" x14ac:dyDescent="0.2">
      <c r="A26" s="22">
        <v>6</v>
      </c>
      <c r="B26" s="38" t="s">
        <v>75</v>
      </c>
      <c r="C26" s="17">
        <v>1</v>
      </c>
      <c r="D26" s="17" t="s">
        <v>54</v>
      </c>
      <c r="E26" s="18">
        <v>10800</v>
      </c>
      <c r="F26" s="19">
        <f t="shared" si="1"/>
        <v>10800</v>
      </c>
      <c r="G26" s="103"/>
      <c r="H26" s="17" t="s">
        <v>76</v>
      </c>
      <c r="I26" s="17" t="s">
        <v>230</v>
      </c>
      <c r="J26" s="113"/>
      <c r="K26" s="27" t="s">
        <v>77</v>
      </c>
      <c r="L26" s="85"/>
    </row>
    <row r="27" spans="1:12" ht="24.95" customHeight="1" x14ac:dyDescent="0.2">
      <c r="A27" s="22">
        <v>7</v>
      </c>
      <c r="B27" s="24" t="s">
        <v>78</v>
      </c>
      <c r="C27" s="17">
        <v>2</v>
      </c>
      <c r="D27" s="17" t="s">
        <v>54</v>
      </c>
      <c r="E27" s="18">
        <v>2500</v>
      </c>
      <c r="F27" s="19">
        <f t="shared" si="1"/>
        <v>5000</v>
      </c>
      <c r="G27" s="103"/>
      <c r="H27" s="17" t="s">
        <v>76</v>
      </c>
      <c r="I27" s="17" t="s">
        <v>230</v>
      </c>
      <c r="J27" s="113"/>
      <c r="K27" s="27"/>
      <c r="L27" s="85"/>
    </row>
    <row r="28" spans="1:12" ht="24.95" customHeight="1" x14ac:dyDescent="0.2">
      <c r="A28" s="22">
        <v>8</v>
      </c>
      <c r="B28" s="24" t="s">
        <v>79</v>
      </c>
      <c r="C28" s="17">
        <v>2</v>
      </c>
      <c r="D28" s="17" t="s">
        <v>54</v>
      </c>
      <c r="E28" s="18">
        <v>4500</v>
      </c>
      <c r="F28" s="19">
        <f t="shared" si="1"/>
        <v>9000</v>
      </c>
      <c r="G28" s="103"/>
      <c r="H28" s="17" t="s">
        <v>76</v>
      </c>
      <c r="I28" s="17" t="s">
        <v>230</v>
      </c>
      <c r="J28" s="113"/>
      <c r="K28" s="27" t="s">
        <v>80</v>
      </c>
      <c r="L28" s="85"/>
    </row>
    <row r="29" spans="1:12" ht="24.95" customHeight="1" x14ac:dyDescent="0.2">
      <c r="A29" s="22">
        <v>9</v>
      </c>
      <c r="B29" s="24" t="s">
        <v>82</v>
      </c>
      <c r="C29" s="17"/>
      <c r="D29" s="17" t="s">
        <v>54</v>
      </c>
      <c r="E29" s="18"/>
      <c r="F29" s="19">
        <f t="shared" si="1"/>
        <v>0</v>
      </c>
      <c r="G29" s="103"/>
      <c r="H29" s="17"/>
      <c r="I29" s="17"/>
      <c r="J29" s="113"/>
      <c r="K29" s="27"/>
      <c r="L29" s="85"/>
    </row>
    <row r="30" spans="1:12" ht="24.95" customHeight="1" x14ac:dyDescent="0.2">
      <c r="A30" s="22">
        <v>10</v>
      </c>
      <c r="B30" s="24" t="s">
        <v>83</v>
      </c>
      <c r="C30" s="17">
        <v>3</v>
      </c>
      <c r="D30" s="17" t="s">
        <v>54</v>
      </c>
      <c r="E30" s="18">
        <v>4500</v>
      </c>
      <c r="F30" s="19">
        <f t="shared" si="1"/>
        <v>13500</v>
      </c>
      <c r="G30" s="103"/>
      <c r="H30" s="17" t="s">
        <v>76</v>
      </c>
      <c r="I30" s="17" t="s">
        <v>230</v>
      </c>
      <c r="J30" s="113"/>
      <c r="K30" s="27"/>
      <c r="L30" s="85"/>
    </row>
    <row r="31" spans="1:12" ht="24.95" customHeight="1" x14ac:dyDescent="0.2">
      <c r="A31" s="22">
        <v>11</v>
      </c>
      <c r="B31" s="24" t="s">
        <v>84</v>
      </c>
      <c r="C31" s="17">
        <v>3</v>
      </c>
      <c r="D31" s="17" t="s">
        <v>54</v>
      </c>
      <c r="E31" s="18">
        <v>100</v>
      </c>
      <c r="F31" s="19">
        <f t="shared" si="1"/>
        <v>300</v>
      </c>
      <c r="G31" s="103"/>
      <c r="H31" s="17" t="s">
        <v>85</v>
      </c>
      <c r="I31" s="17" t="s">
        <v>230</v>
      </c>
      <c r="J31" s="113"/>
      <c r="K31" s="27" t="s">
        <v>86</v>
      </c>
      <c r="L31" s="86"/>
    </row>
    <row r="32" spans="1:12" ht="24.95" customHeight="1" x14ac:dyDescent="0.2">
      <c r="A32" s="77" t="s">
        <v>87</v>
      </c>
      <c r="B32" s="77"/>
      <c r="C32" s="77"/>
      <c r="D32" s="77"/>
      <c r="E32" s="77"/>
      <c r="F32" s="77"/>
      <c r="G32" s="77"/>
      <c r="H32" s="77"/>
      <c r="I32" s="77"/>
      <c r="J32" s="78"/>
      <c r="K32" s="37" t="s">
        <v>63</v>
      </c>
      <c r="L32" s="112" t="s">
        <v>236</v>
      </c>
    </row>
    <row r="33" spans="1:12" ht="24.95" customHeight="1" x14ac:dyDescent="0.2">
      <c r="A33" s="22">
        <v>1</v>
      </c>
      <c r="B33" s="24" t="s">
        <v>88</v>
      </c>
      <c r="C33" s="17">
        <v>2</v>
      </c>
      <c r="D33" s="17" t="s">
        <v>54</v>
      </c>
      <c r="E33" s="18">
        <v>2100</v>
      </c>
      <c r="F33" s="19">
        <f t="shared" ref="F33:F59" si="2">E33*C33</f>
        <v>4200</v>
      </c>
      <c r="G33" s="17" t="s">
        <v>65</v>
      </c>
      <c r="H33" s="17" t="s">
        <v>89</v>
      </c>
      <c r="I33" s="17" t="s">
        <v>230</v>
      </c>
      <c r="J33" s="83"/>
      <c r="K33" s="83"/>
      <c r="L33" s="111"/>
    </row>
    <row r="34" spans="1:12" ht="24.95" customHeight="1" x14ac:dyDescent="0.2">
      <c r="A34" s="22">
        <v>2</v>
      </c>
      <c r="B34" s="24" t="s">
        <v>90</v>
      </c>
      <c r="C34" s="17">
        <v>1</v>
      </c>
      <c r="D34" s="17" t="s">
        <v>54</v>
      </c>
      <c r="E34" s="18">
        <v>650</v>
      </c>
      <c r="F34" s="19">
        <f t="shared" si="2"/>
        <v>650</v>
      </c>
      <c r="G34" s="17" t="s">
        <v>65</v>
      </c>
      <c r="H34" s="17" t="s">
        <v>89</v>
      </c>
      <c r="I34" s="17" t="s">
        <v>230</v>
      </c>
      <c r="J34" s="83"/>
      <c r="K34" s="83"/>
      <c r="L34" s="111"/>
    </row>
    <row r="35" spans="1:12" ht="24.95" customHeight="1" x14ac:dyDescent="0.2">
      <c r="A35" s="22">
        <v>3</v>
      </c>
      <c r="B35" s="24" t="s">
        <v>91</v>
      </c>
      <c r="C35" s="17">
        <v>7</v>
      </c>
      <c r="D35" s="17" t="s">
        <v>81</v>
      </c>
      <c r="E35" s="18">
        <v>168</v>
      </c>
      <c r="F35" s="19">
        <f t="shared" si="2"/>
        <v>1176</v>
      </c>
      <c r="G35" s="17" t="s">
        <v>65</v>
      </c>
      <c r="H35" s="17" t="s">
        <v>89</v>
      </c>
      <c r="I35" s="17" t="s">
        <v>230</v>
      </c>
      <c r="J35" s="83"/>
      <c r="K35" s="83"/>
      <c r="L35" s="111"/>
    </row>
    <row r="36" spans="1:12" ht="34.5" customHeight="1" x14ac:dyDescent="0.2">
      <c r="A36" s="22">
        <v>4</v>
      </c>
      <c r="B36" s="24" t="s">
        <v>92</v>
      </c>
      <c r="C36" s="17">
        <v>1</v>
      </c>
      <c r="D36" s="17" t="s">
        <v>31</v>
      </c>
      <c r="E36" s="18"/>
      <c r="F36" s="19">
        <f t="shared" si="2"/>
        <v>0</v>
      </c>
      <c r="G36" s="17" t="s">
        <v>65</v>
      </c>
      <c r="H36" s="17" t="s">
        <v>93</v>
      </c>
      <c r="I36" s="17" t="s">
        <v>230</v>
      </c>
      <c r="J36" s="83"/>
      <c r="K36" s="83"/>
      <c r="L36" s="111"/>
    </row>
    <row r="37" spans="1:12" ht="24.95" customHeight="1" x14ac:dyDescent="0.2">
      <c r="A37" s="22">
        <v>5</v>
      </c>
      <c r="B37" s="24" t="s">
        <v>94</v>
      </c>
      <c r="C37" s="17"/>
      <c r="D37" s="17" t="s">
        <v>54</v>
      </c>
      <c r="E37" s="18"/>
      <c r="F37" s="19">
        <f t="shared" si="2"/>
        <v>0</v>
      </c>
      <c r="G37" s="17" t="s">
        <v>65</v>
      </c>
      <c r="H37" s="17"/>
      <c r="I37" s="17"/>
      <c r="J37" s="83"/>
      <c r="K37" s="83"/>
      <c r="L37" s="111"/>
    </row>
    <row r="38" spans="1:12" ht="24.95" customHeight="1" x14ac:dyDescent="0.2">
      <c r="A38" s="22">
        <v>6</v>
      </c>
      <c r="B38" s="24" t="s">
        <v>95</v>
      </c>
      <c r="C38" s="17">
        <v>1</v>
      </c>
      <c r="D38" s="17" t="s">
        <v>54</v>
      </c>
      <c r="E38" s="18"/>
      <c r="F38" s="19">
        <f t="shared" si="2"/>
        <v>0</v>
      </c>
      <c r="G38" s="17" t="s">
        <v>65</v>
      </c>
      <c r="H38" s="17" t="s">
        <v>93</v>
      </c>
      <c r="I38" s="17" t="s">
        <v>230</v>
      </c>
      <c r="J38" s="83"/>
      <c r="K38" s="83"/>
      <c r="L38" s="111"/>
    </row>
    <row r="39" spans="1:12" ht="24.95" customHeight="1" x14ac:dyDescent="0.2">
      <c r="A39" s="22">
        <v>7</v>
      </c>
      <c r="B39" s="24" t="s">
        <v>96</v>
      </c>
      <c r="C39" s="17"/>
      <c r="D39" s="17" t="s">
        <v>31</v>
      </c>
      <c r="E39" s="18"/>
      <c r="F39" s="19">
        <f t="shared" si="2"/>
        <v>0</v>
      </c>
      <c r="G39" s="17" t="s">
        <v>65</v>
      </c>
      <c r="H39" s="17"/>
      <c r="I39" s="17"/>
      <c r="J39" s="83"/>
      <c r="K39" s="83"/>
      <c r="L39" s="111"/>
    </row>
    <row r="40" spans="1:12" ht="24.95" customHeight="1" x14ac:dyDescent="0.2">
      <c r="A40" s="22">
        <v>8</v>
      </c>
      <c r="B40" s="24" t="s">
        <v>97</v>
      </c>
      <c r="C40" s="17">
        <v>1</v>
      </c>
      <c r="D40" s="17" t="s">
        <v>31</v>
      </c>
      <c r="E40" s="18"/>
      <c r="F40" s="19">
        <f t="shared" si="2"/>
        <v>0</v>
      </c>
      <c r="G40" s="17" t="s">
        <v>65</v>
      </c>
      <c r="H40" s="17" t="s">
        <v>93</v>
      </c>
      <c r="I40" s="17" t="s">
        <v>230</v>
      </c>
      <c r="J40" s="83"/>
      <c r="K40" s="83"/>
      <c r="L40" s="111"/>
    </row>
    <row r="41" spans="1:12" ht="24.95" customHeight="1" x14ac:dyDescent="0.2">
      <c r="A41" s="22">
        <v>9</v>
      </c>
      <c r="B41" s="24" t="s">
        <v>98</v>
      </c>
      <c r="C41" s="17">
        <v>1</v>
      </c>
      <c r="D41" s="17" t="s">
        <v>31</v>
      </c>
      <c r="E41" s="18"/>
      <c r="F41" s="19">
        <f t="shared" si="2"/>
        <v>0</v>
      </c>
      <c r="G41" s="17" t="s">
        <v>65</v>
      </c>
      <c r="H41" s="17" t="s">
        <v>93</v>
      </c>
      <c r="I41" s="17" t="s">
        <v>230</v>
      </c>
      <c r="J41" s="83"/>
      <c r="K41" s="83"/>
      <c r="L41" s="111"/>
    </row>
    <row r="42" spans="1:12" ht="24.95" customHeight="1" x14ac:dyDescent="0.2">
      <c r="A42" s="22">
        <v>10</v>
      </c>
      <c r="B42" s="24" t="s">
        <v>99</v>
      </c>
      <c r="C42" s="17"/>
      <c r="D42" s="17" t="s">
        <v>31</v>
      </c>
      <c r="E42" s="18"/>
      <c r="F42" s="19">
        <f t="shared" si="2"/>
        <v>0</v>
      </c>
      <c r="G42" s="17" t="s">
        <v>65</v>
      </c>
      <c r="H42" s="17"/>
      <c r="I42" s="17"/>
      <c r="J42" s="83"/>
      <c r="K42" s="83"/>
      <c r="L42" s="111"/>
    </row>
    <row r="43" spans="1:12" ht="24.95" customHeight="1" x14ac:dyDescent="0.2">
      <c r="A43" s="22">
        <v>11</v>
      </c>
      <c r="B43" s="24" t="s">
        <v>100</v>
      </c>
      <c r="C43" s="17"/>
      <c r="D43" s="17" t="s">
        <v>31</v>
      </c>
      <c r="E43" s="18"/>
      <c r="F43" s="19">
        <f t="shared" si="2"/>
        <v>0</v>
      </c>
      <c r="G43" s="17" t="s">
        <v>65</v>
      </c>
      <c r="H43" s="17"/>
      <c r="I43" s="17"/>
      <c r="J43" s="83"/>
      <c r="K43" s="83"/>
      <c r="L43" s="111"/>
    </row>
    <row r="44" spans="1:12" ht="24.95" customHeight="1" x14ac:dyDescent="0.2">
      <c r="A44" s="22">
        <v>12</v>
      </c>
      <c r="B44" s="24" t="s">
        <v>101</v>
      </c>
      <c r="C44" s="17">
        <v>1</v>
      </c>
      <c r="D44" s="17" t="s">
        <v>31</v>
      </c>
      <c r="E44" s="18"/>
      <c r="F44" s="19">
        <f t="shared" si="2"/>
        <v>0</v>
      </c>
      <c r="G44" s="17" t="s">
        <v>65</v>
      </c>
      <c r="H44" s="17" t="s">
        <v>102</v>
      </c>
      <c r="I44" s="17" t="s">
        <v>230</v>
      </c>
      <c r="J44" s="83"/>
      <c r="K44" s="83"/>
      <c r="L44" s="111"/>
    </row>
    <row r="45" spans="1:12" ht="24.95" customHeight="1" x14ac:dyDescent="0.2">
      <c r="A45" s="22">
        <v>13</v>
      </c>
      <c r="B45" s="24" t="s">
        <v>103</v>
      </c>
      <c r="C45" s="17"/>
      <c r="D45" s="17" t="s">
        <v>31</v>
      </c>
      <c r="E45" s="18"/>
      <c r="F45" s="19">
        <f t="shared" si="2"/>
        <v>0</v>
      </c>
      <c r="G45" s="17" t="s">
        <v>65</v>
      </c>
      <c r="H45" s="17"/>
      <c r="I45" s="17"/>
      <c r="J45" s="83"/>
      <c r="K45" s="83"/>
      <c r="L45" s="111"/>
    </row>
    <row r="46" spans="1:12" ht="24.95" customHeight="1" x14ac:dyDescent="0.2">
      <c r="A46" s="22">
        <v>14</v>
      </c>
      <c r="B46" s="24" t="s">
        <v>104</v>
      </c>
      <c r="C46" s="17"/>
      <c r="D46" s="17" t="s">
        <v>31</v>
      </c>
      <c r="E46" s="18"/>
      <c r="F46" s="19">
        <f t="shared" si="2"/>
        <v>0</v>
      </c>
      <c r="G46" s="17" t="s">
        <v>65</v>
      </c>
      <c r="H46" s="17"/>
      <c r="I46" s="17"/>
      <c r="J46" s="83"/>
      <c r="K46" s="83"/>
      <c r="L46" s="111"/>
    </row>
    <row r="47" spans="1:12" ht="24.95" customHeight="1" x14ac:dyDescent="0.2">
      <c r="A47" s="22">
        <v>15</v>
      </c>
      <c r="B47" s="24" t="s">
        <v>105</v>
      </c>
      <c r="C47" s="17"/>
      <c r="D47" s="17" t="s">
        <v>31</v>
      </c>
      <c r="E47" s="18"/>
      <c r="F47" s="19">
        <f t="shared" si="2"/>
        <v>0</v>
      </c>
      <c r="G47" s="17" t="s">
        <v>65</v>
      </c>
      <c r="H47" s="17"/>
      <c r="I47" s="17"/>
      <c r="J47" s="83"/>
      <c r="K47" s="83"/>
      <c r="L47" s="111"/>
    </row>
    <row r="48" spans="1:12" ht="24.95" customHeight="1" x14ac:dyDescent="0.2">
      <c r="A48" s="22">
        <v>16</v>
      </c>
      <c r="B48" s="24" t="s">
        <v>106</v>
      </c>
      <c r="C48" s="17">
        <v>1</v>
      </c>
      <c r="D48" s="17" t="s">
        <v>31</v>
      </c>
      <c r="E48" s="18"/>
      <c r="F48" s="19">
        <f t="shared" si="2"/>
        <v>0</v>
      </c>
      <c r="G48" s="17" t="s">
        <v>65</v>
      </c>
      <c r="H48" s="17"/>
      <c r="I48" s="17" t="s">
        <v>230</v>
      </c>
      <c r="J48" s="83"/>
      <c r="K48" s="83"/>
      <c r="L48" s="111"/>
    </row>
    <row r="49" spans="1:12" ht="24.95" customHeight="1" x14ac:dyDescent="0.2">
      <c r="A49" s="22">
        <v>17</v>
      </c>
      <c r="B49" s="24" t="s">
        <v>107</v>
      </c>
      <c r="C49" s="17"/>
      <c r="D49" s="17" t="s">
        <v>31</v>
      </c>
      <c r="E49" s="18"/>
      <c r="F49" s="19">
        <f t="shared" si="2"/>
        <v>0</v>
      </c>
      <c r="G49" s="17" t="s">
        <v>65</v>
      </c>
      <c r="H49" s="17"/>
      <c r="I49" s="17"/>
      <c r="J49" s="83"/>
      <c r="K49" s="83"/>
      <c r="L49" s="111"/>
    </row>
    <row r="50" spans="1:12" ht="24.95" customHeight="1" x14ac:dyDescent="0.2">
      <c r="A50" s="22">
        <v>18</v>
      </c>
      <c r="B50" s="24" t="s">
        <v>108</v>
      </c>
      <c r="C50" s="17"/>
      <c r="D50" s="17" t="s">
        <v>31</v>
      </c>
      <c r="E50" s="18"/>
      <c r="F50" s="19">
        <f t="shared" si="2"/>
        <v>0</v>
      </c>
      <c r="G50" s="17" t="s">
        <v>65</v>
      </c>
      <c r="H50" s="17"/>
      <c r="I50" s="17" t="s">
        <v>230</v>
      </c>
      <c r="J50" s="83"/>
      <c r="K50" s="83"/>
      <c r="L50" s="111"/>
    </row>
    <row r="51" spans="1:12" ht="24.95" customHeight="1" x14ac:dyDescent="0.2">
      <c r="A51" s="22">
        <v>19</v>
      </c>
      <c r="B51" s="24" t="s">
        <v>109</v>
      </c>
      <c r="C51" s="17"/>
      <c r="D51" s="17" t="s">
        <v>54</v>
      </c>
      <c r="E51" s="18"/>
      <c r="F51" s="19">
        <f t="shared" si="2"/>
        <v>0</v>
      </c>
      <c r="G51" s="17" t="s">
        <v>65</v>
      </c>
      <c r="H51" s="17"/>
      <c r="I51" s="17"/>
      <c r="J51" s="83"/>
      <c r="K51" s="83"/>
      <c r="L51" s="111"/>
    </row>
    <row r="52" spans="1:12" ht="24.95" customHeight="1" x14ac:dyDescent="0.2">
      <c r="A52" s="22">
        <v>20</v>
      </c>
      <c r="B52" s="24" t="s">
        <v>110</v>
      </c>
      <c r="C52" s="17"/>
      <c r="D52" s="17" t="s">
        <v>54</v>
      </c>
      <c r="E52" s="18"/>
      <c r="F52" s="19">
        <f t="shared" si="2"/>
        <v>0</v>
      </c>
      <c r="G52" s="17" t="s">
        <v>65</v>
      </c>
      <c r="H52" s="17"/>
      <c r="I52" s="17"/>
      <c r="J52" s="83"/>
      <c r="K52" s="83"/>
      <c r="L52" s="111"/>
    </row>
    <row r="53" spans="1:12" ht="24.95" customHeight="1" x14ac:dyDescent="0.2">
      <c r="A53" s="22">
        <v>21</v>
      </c>
      <c r="B53" s="24" t="s">
        <v>111</v>
      </c>
      <c r="C53" s="17"/>
      <c r="D53" s="17" t="s">
        <v>54</v>
      </c>
      <c r="E53" s="18"/>
      <c r="F53" s="19">
        <f t="shared" si="2"/>
        <v>0</v>
      </c>
      <c r="G53" s="17" t="s">
        <v>65</v>
      </c>
      <c r="H53" s="17"/>
      <c r="I53" s="17"/>
      <c r="J53" s="83"/>
      <c r="K53" s="83"/>
      <c r="L53" s="111"/>
    </row>
    <row r="54" spans="1:12" ht="24.95" customHeight="1" x14ac:dyDescent="0.2">
      <c r="A54" s="22">
        <v>22</v>
      </c>
      <c r="B54" s="24" t="s">
        <v>112</v>
      </c>
      <c r="C54" s="17">
        <v>4</v>
      </c>
      <c r="D54" s="17" t="s">
        <v>31</v>
      </c>
      <c r="E54" s="18">
        <v>350</v>
      </c>
      <c r="F54" s="19">
        <f t="shared" si="2"/>
        <v>1400</v>
      </c>
      <c r="G54" s="17" t="s">
        <v>65</v>
      </c>
      <c r="H54" s="17" t="s">
        <v>85</v>
      </c>
      <c r="I54" s="17" t="s">
        <v>230</v>
      </c>
      <c r="J54" s="83"/>
      <c r="K54" s="83"/>
      <c r="L54" s="111"/>
    </row>
    <row r="55" spans="1:12" ht="24.95" customHeight="1" x14ac:dyDescent="0.2">
      <c r="A55" s="22">
        <v>23</v>
      </c>
      <c r="B55" s="24" t="s">
        <v>113</v>
      </c>
      <c r="C55" s="17"/>
      <c r="D55" s="17" t="s">
        <v>31</v>
      </c>
      <c r="E55" s="18"/>
      <c r="F55" s="19">
        <f t="shared" si="2"/>
        <v>0</v>
      </c>
      <c r="G55" s="17" t="s">
        <v>65</v>
      </c>
      <c r="H55" s="17"/>
      <c r="I55" s="17"/>
      <c r="J55" s="83"/>
      <c r="K55" s="83"/>
      <c r="L55" s="111"/>
    </row>
    <row r="56" spans="1:12" ht="24.95" customHeight="1" x14ac:dyDescent="0.2">
      <c r="A56" s="22">
        <v>24</v>
      </c>
      <c r="B56" s="24" t="s">
        <v>114</v>
      </c>
      <c r="C56" s="17">
        <v>1</v>
      </c>
      <c r="D56" s="17" t="s">
        <v>54</v>
      </c>
      <c r="E56" s="18">
        <v>1050</v>
      </c>
      <c r="F56" s="19">
        <f t="shared" si="2"/>
        <v>1050</v>
      </c>
      <c r="G56" s="17" t="s">
        <v>65</v>
      </c>
      <c r="H56" s="17" t="s">
        <v>89</v>
      </c>
      <c r="I56" s="17" t="s">
        <v>230</v>
      </c>
      <c r="J56" s="83"/>
      <c r="K56" s="83"/>
      <c r="L56" s="111"/>
    </row>
    <row r="57" spans="1:12" ht="24.95" customHeight="1" x14ac:dyDescent="0.2">
      <c r="A57" s="22">
        <v>25</v>
      </c>
      <c r="B57" s="24" t="s">
        <v>115</v>
      </c>
      <c r="C57" s="17"/>
      <c r="D57" s="17" t="s">
        <v>54</v>
      </c>
      <c r="E57" s="18"/>
      <c r="F57" s="19">
        <f t="shared" si="2"/>
        <v>0</v>
      </c>
      <c r="G57" s="17" t="s">
        <v>65</v>
      </c>
      <c r="H57" s="17"/>
      <c r="I57" s="17"/>
      <c r="J57" s="83"/>
      <c r="K57" s="83"/>
      <c r="L57" s="111"/>
    </row>
    <row r="58" spans="1:12" ht="24.95" customHeight="1" x14ac:dyDescent="0.2">
      <c r="A58" s="22">
        <v>26</v>
      </c>
      <c r="B58" s="24" t="s">
        <v>116</v>
      </c>
      <c r="C58" s="17"/>
      <c r="D58" s="17" t="s">
        <v>31</v>
      </c>
      <c r="E58" s="18"/>
      <c r="F58" s="19">
        <f t="shared" si="2"/>
        <v>0</v>
      </c>
      <c r="G58" s="17" t="s">
        <v>65</v>
      </c>
      <c r="H58" s="17"/>
      <c r="I58" s="17"/>
      <c r="J58" s="83"/>
      <c r="K58" s="83"/>
      <c r="L58" s="111"/>
    </row>
    <row r="59" spans="1:12" ht="24.95" customHeight="1" x14ac:dyDescent="0.2">
      <c r="A59" s="22">
        <v>27</v>
      </c>
      <c r="B59" s="24" t="s">
        <v>117</v>
      </c>
      <c r="C59" s="17">
        <v>1</v>
      </c>
      <c r="D59" s="17" t="s">
        <v>54</v>
      </c>
      <c r="E59" s="18">
        <v>2600</v>
      </c>
      <c r="F59" s="19">
        <f t="shared" si="2"/>
        <v>2600</v>
      </c>
      <c r="G59" s="17" t="s">
        <v>65</v>
      </c>
      <c r="H59" s="17" t="s">
        <v>85</v>
      </c>
      <c r="I59" s="17" t="s">
        <v>230</v>
      </c>
      <c r="J59" s="83"/>
      <c r="K59" s="83"/>
      <c r="L59" s="111"/>
    </row>
    <row r="60" spans="1:12" ht="24.95" customHeight="1" x14ac:dyDescent="0.2">
      <c r="A60" s="22">
        <v>28</v>
      </c>
      <c r="B60" s="24" t="s">
        <v>118</v>
      </c>
      <c r="C60" s="17"/>
      <c r="D60" s="17" t="s">
        <v>54</v>
      </c>
      <c r="E60" s="18"/>
      <c r="F60" s="19">
        <f t="shared" ref="F60:F61" si="3">E60*C60</f>
        <v>0</v>
      </c>
      <c r="G60" s="17" t="s">
        <v>65</v>
      </c>
      <c r="H60" s="17"/>
      <c r="I60" s="17"/>
      <c r="J60" s="83"/>
      <c r="K60" s="83"/>
      <c r="L60" s="111"/>
    </row>
    <row r="61" spans="1:12" ht="24.95" customHeight="1" x14ac:dyDescent="0.2">
      <c r="A61" s="22">
        <v>29</v>
      </c>
      <c r="B61" s="24" t="s">
        <v>119</v>
      </c>
      <c r="C61" s="17"/>
      <c r="D61" s="17" t="s">
        <v>54</v>
      </c>
      <c r="E61" s="18"/>
      <c r="F61" s="19">
        <f t="shared" si="3"/>
        <v>0</v>
      </c>
      <c r="G61" s="17" t="s">
        <v>65</v>
      </c>
      <c r="H61" s="17"/>
      <c r="I61" s="17"/>
      <c r="J61" s="83"/>
      <c r="K61" s="83"/>
      <c r="L61" s="111"/>
    </row>
    <row r="62" spans="1:12" ht="24.95" customHeight="1" x14ac:dyDescent="0.2">
      <c r="A62" s="79" t="s">
        <v>120</v>
      </c>
      <c r="B62" s="80"/>
      <c r="C62" s="80"/>
      <c r="D62" s="80"/>
      <c r="E62" s="80"/>
      <c r="F62" s="80"/>
      <c r="G62" s="39" t="s">
        <v>121</v>
      </c>
      <c r="H62" s="40"/>
      <c r="I62" s="48"/>
      <c r="J62" s="41" t="s">
        <v>122</v>
      </c>
      <c r="K62" s="39"/>
      <c r="L62" s="42"/>
    </row>
    <row r="63" spans="1:12" ht="24.95" customHeight="1" x14ac:dyDescent="0.2">
      <c r="A63" s="22">
        <v>1</v>
      </c>
      <c r="B63" s="24" t="s">
        <v>123</v>
      </c>
      <c r="C63" s="17">
        <v>24</v>
      </c>
      <c r="D63" s="17" t="s">
        <v>124</v>
      </c>
      <c r="E63" s="18">
        <v>330</v>
      </c>
      <c r="F63" s="19">
        <f t="shared" ref="F63:F73" si="4">E63*C63</f>
        <v>7920</v>
      </c>
      <c r="G63" s="24"/>
      <c r="H63" s="27" t="s">
        <v>125</v>
      </c>
      <c r="I63" s="17" t="s">
        <v>230</v>
      </c>
      <c r="J63" s="83" t="s">
        <v>126</v>
      </c>
      <c r="K63" s="82" t="s">
        <v>127</v>
      </c>
      <c r="L63" s="87" t="s">
        <v>238</v>
      </c>
    </row>
    <row r="64" spans="1:12" ht="24.95" customHeight="1" x14ac:dyDescent="0.2">
      <c r="A64" s="22">
        <v>2</v>
      </c>
      <c r="B64" s="24" t="s">
        <v>128</v>
      </c>
      <c r="C64" s="17">
        <v>20</v>
      </c>
      <c r="D64" s="17" t="s">
        <v>124</v>
      </c>
      <c r="E64" s="18">
        <v>158</v>
      </c>
      <c r="F64" s="19">
        <f t="shared" si="4"/>
        <v>3160</v>
      </c>
      <c r="G64" s="24"/>
      <c r="H64" s="27" t="s">
        <v>125</v>
      </c>
      <c r="I64" s="17" t="s">
        <v>230</v>
      </c>
      <c r="J64" s="83"/>
      <c r="K64" s="82"/>
      <c r="L64" s="88"/>
    </row>
    <row r="65" spans="1:12" ht="24.95" customHeight="1" x14ac:dyDescent="0.2">
      <c r="A65" s="22">
        <v>3</v>
      </c>
      <c r="B65" s="24" t="s">
        <v>129</v>
      </c>
      <c r="C65" s="17">
        <v>4</v>
      </c>
      <c r="D65" s="17" t="s">
        <v>124</v>
      </c>
      <c r="E65" s="18">
        <v>158</v>
      </c>
      <c r="F65" s="19">
        <f t="shared" si="4"/>
        <v>632</v>
      </c>
      <c r="G65" s="24"/>
      <c r="H65" s="27" t="s">
        <v>125</v>
      </c>
      <c r="I65" s="17" t="s">
        <v>230</v>
      </c>
      <c r="J65" s="83"/>
      <c r="K65" s="82"/>
      <c r="L65" s="88"/>
    </row>
    <row r="66" spans="1:12" ht="24.95" customHeight="1" x14ac:dyDescent="0.2">
      <c r="A66" s="22">
        <v>4</v>
      </c>
      <c r="B66" s="24" t="s">
        <v>130</v>
      </c>
      <c r="C66" s="17">
        <v>32</v>
      </c>
      <c r="D66" s="17" t="s">
        <v>124</v>
      </c>
      <c r="E66" s="18">
        <v>88</v>
      </c>
      <c r="F66" s="19">
        <f t="shared" si="4"/>
        <v>2816</v>
      </c>
      <c r="G66" s="24"/>
      <c r="H66" s="27" t="s">
        <v>125</v>
      </c>
      <c r="I66" s="17" t="s">
        <v>230</v>
      </c>
      <c r="J66" s="83"/>
      <c r="K66" s="82"/>
      <c r="L66" s="88"/>
    </row>
    <row r="67" spans="1:12" ht="24.95" customHeight="1" x14ac:dyDescent="0.2">
      <c r="A67" s="22">
        <v>5</v>
      </c>
      <c r="B67" s="24" t="s">
        <v>131</v>
      </c>
      <c r="C67" s="17">
        <v>11</v>
      </c>
      <c r="D67" s="17" t="s">
        <v>124</v>
      </c>
      <c r="E67" s="18">
        <v>88</v>
      </c>
      <c r="F67" s="19">
        <f t="shared" si="4"/>
        <v>968</v>
      </c>
      <c r="G67" s="24"/>
      <c r="H67" s="27" t="s">
        <v>125</v>
      </c>
      <c r="I67" s="17" t="s">
        <v>230</v>
      </c>
      <c r="J67" s="83"/>
      <c r="K67" s="82"/>
      <c r="L67" s="88"/>
    </row>
    <row r="68" spans="1:12" ht="24.95" customHeight="1" x14ac:dyDescent="0.2">
      <c r="A68" s="22">
        <v>6</v>
      </c>
      <c r="B68" s="24" t="s">
        <v>132</v>
      </c>
      <c r="C68" s="17">
        <v>20</v>
      </c>
      <c r="D68" s="17" t="s">
        <v>124</v>
      </c>
      <c r="E68" s="18">
        <v>158</v>
      </c>
      <c r="F68" s="19">
        <f t="shared" si="4"/>
        <v>3160</v>
      </c>
      <c r="G68" s="24"/>
      <c r="H68" s="27" t="s">
        <v>125</v>
      </c>
      <c r="I68" s="17" t="s">
        <v>230</v>
      </c>
      <c r="J68" s="83"/>
      <c r="K68" s="82"/>
      <c r="L68" s="88"/>
    </row>
    <row r="69" spans="1:12" ht="24.95" customHeight="1" x14ac:dyDescent="0.2">
      <c r="A69" s="22">
        <v>7</v>
      </c>
      <c r="B69" s="24" t="s">
        <v>133</v>
      </c>
      <c r="C69" s="17">
        <v>4</v>
      </c>
      <c r="D69" s="17" t="s">
        <v>124</v>
      </c>
      <c r="E69" s="18">
        <v>158</v>
      </c>
      <c r="F69" s="19">
        <f t="shared" si="4"/>
        <v>632</v>
      </c>
      <c r="G69" s="24"/>
      <c r="H69" s="27" t="s">
        <v>125</v>
      </c>
      <c r="I69" s="17" t="s">
        <v>230</v>
      </c>
      <c r="J69" s="83"/>
      <c r="K69" s="82"/>
      <c r="L69" s="88"/>
    </row>
    <row r="70" spans="1:12" ht="24.95" customHeight="1" x14ac:dyDescent="0.2">
      <c r="A70" s="22">
        <v>8</v>
      </c>
      <c r="B70" s="24" t="s">
        <v>134</v>
      </c>
      <c r="C70" s="17">
        <v>85</v>
      </c>
      <c r="D70" s="17" t="s">
        <v>124</v>
      </c>
      <c r="E70" s="18">
        <v>330</v>
      </c>
      <c r="F70" s="19">
        <f t="shared" si="4"/>
        <v>28050</v>
      </c>
      <c r="G70" s="24"/>
      <c r="H70" s="27" t="s">
        <v>125</v>
      </c>
      <c r="I70" s="17" t="s">
        <v>230</v>
      </c>
      <c r="J70" s="83"/>
      <c r="K70" s="82"/>
      <c r="L70" s="88"/>
    </row>
    <row r="71" spans="1:12" ht="24.95" customHeight="1" x14ac:dyDescent="0.2">
      <c r="A71" s="22">
        <v>9</v>
      </c>
      <c r="B71" s="24" t="s">
        <v>135</v>
      </c>
      <c r="C71" s="17">
        <v>1</v>
      </c>
      <c r="D71" s="17" t="s">
        <v>19</v>
      </c>
      <c r="E71" s="18">
        <v>1800</v>
      </c>
      <c r="F71" s="19">
        <f t="shared" si="4"/>
        <v>1800</v>
      </c>
      <c r="G71" s="24"/>
      <c r="H71" s="27"/>
      <c r="I71" s="17" t="s">
        <v>230</v>
      </c>
      <c r="J71" s="36"/>
      <c r="K71" s="26"/>
      <c r="L71" s="88"/>
    </row>
    <row r="72" spans="1:12" ht="24.95" customHeight="1" x14ac:dyDescent="0.2">
      <c r="A72" s="22">
        <v>10</v>
      </c>
      <c r="B72" s="24" t="s">
        <v>136</v>
      </c>
      <c r="C72" s="17">
        <v>7</v>
      </c>
      <c r="D72" s="17" t="s">
        <v>35</v>
      </c>
      <c r="E72" s="18">
        <v>188</v>
      </c>
      <c r="F72" s="19">
        <f t="shared" si="4"/>
        <v>1316</v>
      </c>
      <c r="G72" s="24"/>
      <c r="H72" s="27" t="s">
        <v>137</v>
      </c>
      <c r="I72" s="17" t="s">
        <v>230</v>
      </c>
      <c r="J72" s="36"/>
      <c r="K72" s="26"/>
      <c r="L72" s="88"/>
    </row>
    <row r="73" spans="1:12" ht="24.95" customHeight="1" x14ac:dyDescent="0.2">
      <c r="A73" s="22">
        <v>11</v>
      </c>
      <c r="B73" s="24" t="s">
        <v>138</v>
      </c>
      <c r="C73" s="17">
        <v>3</v>
      </c>
      <c r="D73" s="17" t="s">
        <v>35</v>
      </c>
      <c r="E73" s="18">
        <v>258</v>
      </c>
      <c r="F73" s="19">
        <f t="shared" si="4"/>
        <v>774</v>
      </c>
      <c r="G73" s="24"/>
      <c r="H73" s="27" t="s">
        <v>60</v>
      </c>
      <c r="I73" s="17" t="s">
        <v>230</v>
      </c>
      <c r="J73" s="36"/>
      <c r="K73" s="26"/>
      <c r="L73" s="89"/>
    </row>
    <row r="74" spans="1:12" ht="24.95" customHeight="1" x14ac:dyDescent="0.2">
      <c r="A74" s="79" t="s">
        <v>139</v>
      </c>
      <c r="B74" s="80"/>
      <c r="C74" s="80"/>
      <c r="D74" s="80"/>
      <c r="E74" s="80"/>
      <c r="F74" s="80"/>
      <c r="G74" s="39" t="s">
        <v>121</v>
      </c>
      <c r="H74" s="40"/>
      <c r="I74" s="48"/>
      <c r="J74" s="41" t="s">
        <v>122</v>
      </c>
      <c r="K74" s="39"/>
      <c r="L74" s="42"/>
    </row>
    <row r="75" spans="1:12" ht="24.95" customHeight="1" x14ac:dyDescent="0.2">
      <c r="A75" s="96" t="s">
        <v>140</v>
      </c>
      <c r="B75" s="23" t="s">
        <v>141</v>
      </c>
      <c r="C75" s="17">
        <v>5</v>
      </c>
      <c r="D75" s="17" t="s">
        <v>142</v>
      </c>
      <c r="E75" s="18">
        <v>3880</v>
      </c>
      <c r="F75" s="19">
        <f>E75*C75</f>
        <v>19400</v>
      </c>
      <c r="G75" s="104" t="s">
        <v>143</v>
      </c>
      <c r="H75" s="106" t="s">
        <v>144</v>
      </c>
      <c r="I75" s="104" t="s">
        <v>230</v>
      </c>
      <c r="J75" s="106" t="s">
        <v>145</v>
      </c>
      <c r="K75" s="106" t="s">
        <v>146</v>
      </c>
      <c r="L75" s="63" t="s">
        <v>239</v>
      </c>
    </row>
    <row r="76" spans="1:12" ht="24.95" customHeight="1" x14ac:dyDescent="0.2">
      <c r="A76" s="97"/>
      <c r="B76" s="23" t="s">
        <v>147</v>
      </c>
      <c r="C76" s="17">
        <v>1</v>
      </c>
      <c r="D76" s="17" t="s">
        <v>142</v>
      </c>
      <c r="E76" s="18">
        <v>5760</v>
      </c>
      <c r="F76" s="19">
        <f t="shared" ref="F76:F84" si="5">E76*C76</f>
        <v>5760</v>
      </c>
      <c r="G76" s="105"/>
      <c r="H76" s="107"/>
      <c r="I76" s="105"/>
      <c r="J76" s="107"/>
      <c r="K76" s="107"/>
      <c r="L76" s="64"/>
    </row>
    <row r="77" spans="1:12" ht="24.95" customHeight="1" x14ac:dyDescent="0.2">
      <c r="A77" s="97"/>
      <c r="B77" s="23" t="s">
        <v>148</v>
      </c>
      <c r="C77" s="17">
        <v>5.7</v>
      </c>
      <c r="D77" s="17" t="s">
        <v>81</v>
      </c>
      <c r="E77" s="18">
        <v>520</v>
      </c>
      <c r="F77" s="19">
        <f t="shared" si="5"/>
        <v>2964</v>
      </c>
      <c r="G77" s="105"/>
      <c r="H77" s="107"/>
      <c r="I77" s="105"/>
      <c r="J77" s="107"/>
      <c r="K77" s="107"/>
      <c r="L77" s="64"/>
    </row>
    <row r="78" spans="1:12" ht="24.95" customHeight="1" x14ac:dyDescent="0.2">
      <c r="A78" s="97"/>
      <c r="B78" s="23" t="s">
        <v>149</v>
      </c>
      <c r="C78" s="17">
        <v>98.5</v>
      </c>
      <c r="D78" s="17" t="s">
        <v>81</v>
      </c>
      <c r="E78" s="18">
        <v>84.8</v>
      </c>
      <c r="F78" s="19">
        <f t="shared" si="5"/>
        <v>8352.7999999999993</v>
      </c>
      <c r="G78" s="105"/>
      <c r="H78" s="108"/>
      <c r="I78" s="109"/>
      <c r="J78" s="108"/>
      <c r="K78" s="108"/>
      <c r="L78" s="65"/>
    </row>
    <row r="79" spans="1:12" ht="24.95" customHeight="1" x14ac:dyDescent="0.2">
      <c r="A79" s="97" t="s">
        <v>150</v>
      </c>
      <c r="B79" s="23" t="s">
        <v>151</v>
      </c>
      <c r="C79" s="17">
        <v>3.3</v>
      </c>
      <c r="D79" s="17" t="s">
        <v>152</v>
      </c>
      <c r="E79" s="18">
        <f>((1550+1525)*1.2)*0.8</f>
        <v>2952</v>
      </c>
      <c r="F79" s="19">
        <f t="shared" si="5"/>
        <v>9741.6</v>
      </c>
      <c r="G79" s="105"/>
      <c r="H79" s="106" t="s">
        <v>144</v>
      </c>
      <c r="I79" s="104" t="s">
        <v>230</v>
      </c>
      <c r="J79" s="106" t="s">
        <v>145</v>
      </c>
      <c r="K79" s="106"/>
      <c r="L79" s="63" t="s">
        <v>239</v>
      </c>
    </row>
    <row r="80" spans="1:12" ht="24.95" customHeight="1" x14ac:dyDescent="0.2">
      <c r="A80" s="97"/>
      <c r="B80" s="23" t="s">
        <v>153</v>
      </c>
      <c r="C80" s="17">
        <v>3.3</v>
      </c>
      <c r="D80" s="17" t="s">
        <v>152</v>
      </c>
      <c r="E80" s="18">
        <f>((950+1525)*1.2)*0.8</f>
        <v>2376</v>
      </c>
      <c r="F80" s="19">
        <f t="shared" si="5"/>
        <v>7840.7999999999993</v>
      </c>
      <c r="G80" s="105"/>
      <c r="H80" s="107"/>
      <c r="I80" s="105"/>
      <c r="J80" s="107"/>
      <c r="K80" s="107"/>
      <c r="L80" s="66"/>
    </row>
    <row r="81" spans="1:12" ht="24.75" customHeight="1" x14ac:dyDescent="0.2">
      <c r="A81" s="97"/>
      <c r="B81" s="23" t="s">
        <v>154</v>
      </c>
      <c r="C81" s="17">
        <f>3.3*0.35</f>
        <v>1.1549999999999998</v>
      </c>
      <c r="D81" s="17" t="s">
        <v>155</v>
      </c>
      <c r="E81" s="18">
        <f>(1525*1.2)*0.8</f>
        <v>1464</v>
      </c>
      <c r="F81" s="19">
        <f t="shared" si="5"/>
        <v>1690.9199999999996</v>
      </c>
      <c r="G81" s="105"/>
      <c r="H81" s="107"/>
      <c r="I81" s="105"/>
      <c r="J81" s="107"/>
      <c r="K81" s="107"/>
      <c r="L81" s="66"/>
    </row>
    <row r="82" spans="1:12" ht="24.95" customHeight="1" x14ac:dyDescent="0.2">
      <c r="A82" s="97"/>
      <c r="B82" s="23" t="s">
        <v>156</v>
      </c>
      <c r="C82" s="17">
        <v>3.3</v>
      </c>
      <c r="D82" s="17" t="s">
        <v>152</v>
      </c>
      <c r="E82" s="18">
        <v>288</v>
      </c>
      <c r="F82" s="19">
        <f t="shared" si="5"/>
        <v>950.4</v>
      </c>
      <c r="G82" s="105"/>
      <c r="H82" s="107"/>
      <c r="I82" s="105"/>
      <c r="J82" s="107"/>
      <c r="K82" s="107"/>
      <c r="L82" s="66"/>
    </row>
    <row r="83" spans="1:12" ht="24.95" customHeight="1" x14ac:dyDescent="0.2">
      <c r="A83" s="97"/>
      <c r="B83" s="23" t="s">
        <v>157</v>
      </c>
      <c r="C83" s="17">
        <f>1.8*2.75</f>
        <v>4.95</v>
      </c>
      <c r="D83" s="17" t="s">
        <v>158</v>
      </c>
      <c r="E83" s="18">
        <f>((1008+1525)*1.2)*0.8</f>
        <v>2431.6799999999998</v>
      </c>
      <c r="F83" s="19">
        <f t="shared" si="5"/>
        <v>12036.815999999999</v>
      </c>
      <c r="G83" s="105"/>
      <c r="H83" s="107"/>
      <c r="I83" s="105"/>
      <c r="J83" s="107"/>
      <c r="K83" s="107"/>
      <c r="L83" s="66"/>
    </row>
    <row r="84" spans="1:12" ht="24.75" customHeight="1" x14ac:dyDescent="0.2">
      <c r="A84" s="97"/>
      <c r="B84" s="23" t="s">
        <v>159</v>
      </c>
      <c r="C84" s="17">
        <v>2.4</v>
      </c>
      <c r="D84" s="17" t="s">
        <v>152</v>
      </c>
      <c r="E84" s="18">
        <v>2952</v>
      </c>
      <c r="F84" s="19">
        <f t="shared" si="5"/>
        <v>7084.8</v>
      </c>
      <c r="G84" s="105"/>
      <c r="H84" s="108"/>
      <c r="I84" s="105"/>
      <c r="J84" s="108"/>
      <c r="K84" s="108"/>
      <c r="L84" s="66"/>
    </row>
    <row r="85" spans="1:12" ht="24.95" customHeight="1" x14ac:dyDescent="0.2">
      <c r="A85" s="97"/>
      <c r="B85" s="23" t="s">
        <v>160</v>
      </c>
      <c r="C85" s="17">
        <v>4.62</v>
      </c>
      <c r="D85" s="17" t="s">
        <v>155</v>
      </c>
      <c r="E85" s="18">
        <v>1400</v>
      </c>
      <c r="F85" s="19">
        <f t="shared" ref="F85:F102" si="6">E85*C85</f>
        <v>6468</v>
      </c>
      <c r="G85" s="45"/>
      <c r="H85" s="106"/>
      <c r="I85" s="105"/>
      <c r="J85" s="36"/>
      <c r="K85" s="36"/>
      <c r="L85" s="66"/>
    </row>
    <row r="86" spans="1:12" ht="24.95" customHeight="1" x14ac:dyDescent="0.2">
      <c r="A86" s="97"/>
      <c r="B86" s="23" t="s">
        <v>161</v>
      </c>
      <c r="C86" s="17">
        <v>1.32</v>
      </c>
      <c r="D86" s="17" t="s">
        <v>155</v>
      </c>
      <c r="E86" s="18">
        <v>1400</v>
      </c>
      <c r="F86" s="19">
        <f t="shared" si="6"/>
        <v>1848</v>
      </c>
      <c r="G86" s="45"/>
      <c r="H86" s="108"/>
      <c r="I86" s="105"/>
      <c r="J86" s="36"/>
      <c r="K86" s="36"/>
      <c r="L86" s="66"/>
    </row>
    <row r="87" spans="1:12" ht="24.75" customHeight="1" x14ac:dyDescent="0.2">
      <c r="A87" s="97"/>
      <c r="B87" s="23" t="s">
        <v>162</v>
      </c>
      <c r="C87" s="17">
        <v>1</v>
      </c>
      <c r="D87" s="17" t="s">
        <v>35</v>
      </c>
      <c r="E87" s="18">
        <v>1760</v>
      </c>
      <c r="F87" s="19">
        <f t="shared" si="6"/>
        <v>1760</v>
      </c>
      <c r="G87" s="5"/>
      <c r="H87" s="27" t="s">
        <v>163</v>
      </c>
      <c r="I87" s="105"/>
      <c r="J87" s="36"/>
      <c r="K87" s="36"/>
      <c r="L87" s="66"/>
    </row>
    <row r="88" spans="1:12" ht="24.95" customHeight="1" x14ac:dyDescent="0.2">
      <c r="A88" s="97"/>
      <c r="B88" s="23" t="s">
        <v>164</v>
      </c>
      <c r="C88" s="17">
        <v>1</v>
      </c>
      <c r="D88" s="17" t="s">
        <v>35</v>
      </c>
      <c r="E88" s="18">
        <v>580</v>
      </c>
      <c r="F88" s="19">
        <f t="shared" si="6"/>
        <v>580</v>
      </c>
      <c r="G88" s="5"/>
      <c r="H88" s="27" t="s">
        <v>163</v>
      </c>
      <c r="I88" s="105"/>
      <c r="J88" s="36"/>
      <c r="K88" s="36"/>
      <c r="L88" s="66"/>
    </row>
    <row r="89" spans="1:12" ht="24.95" customHeight="1" x14ac:dyDescent="0.2">
      <c r="A89" s="97"/>
      <c r="B89" s="23" t="s">
        <v>165</v>
      </c>
      <c r="C89" s="17">
        <v>4</v>
      </c>
      <c r="D89" s="17" t="s">
        <v>35</v>
      </c>
      <c r="E89" s="18">
        <v>384</v>
      </c>
      <c r="F89" s="19">
        <f t="shared" si="6"/>
        <v>1536</v>
      </c>
      <c r="G89" s="5"/>
      <c r="H89" s="27" t="s">
        <v>166</v>
      </c>
      <c r="I89" s="105"/>
      <c r="J89" s="36"/>
      <c r="K89" s="36"/>
      <c r="L89" s="66"/>
    </row>
    <row r="90" spans="1:12" ht="24.75" customHeight="1" x14ac:dyDescent="0.2">
      <c r="A90" s="97"/>
      <c r="B90" s="23" t="s">
        <v>167</v>
      </c>
      <c r="C90" s="17">
        <v>13</v>
      </c>
      <c r="D90" s="17" t="s">
        <v>35</v>
      </c>
      <c r="E90" s="18">
        <v>44</v>
      </c>
      <c r="F90" s="19">
        <f t="shared" si="6"/>
        <v>572</v>
      </c>
      <c r="G90" s="17"/>
      <c r="H90" s="27"/>
      <c r="I90" s="105"/>
      <c r="J90" s="36"/>
      <c r="K90" s="36"/>
      <c r="L90" s="66"/>
    </row>
    <row r="91" spans="1:12" ht="24.95" customHeight="1" x14ac:dyDescent="0.2">
      <c r="A91" s="97"/>
      <c r="B91" s="23" t="s">
        <v>168</v>
      </c>
      <c r="C91" s="17">
        <v>3.3</v>
      </c>
      <c r="D91" s="17" t="s">
        <v>81</v>
      </c>
      <c r="E91" s="18">
        <v>116</v>
      </c>
      <c r="F91" s="19">
        <f t="shared" si="6"/>
        <v>382.79999999999995</v>
      </c>
      <c r="G91" s="17"/>
      <c r="H91" s="27"/>
      <c r="I91" s="105"/>
      <c r="J91" s="36"/>
      <c r="K91" s="36"/>
      <c r="L91" s="66"/>
    </row>
    <row r="92" spans="1:12" ht="24.95" customHeight="1" x14ac:dyDescent="0.2">
      <c r="A92" s="97"/>
      <c r="B92" s="23" t="s">
        <v>169</v>
      </c>
      <c r="C92" s="17">
        <v>1</v>
      </c>
      <c r="D92" s="17" t="s">
        <v>35</v>
      </c>
      <c r="E92" s="18">
        <v>52</v>
      </c>
      <c r="F92" s="19">
        <f t="shared" si="6"/>
        <v>52</v>
      </c>
      <c r="G92" s="17"/>
      <c r="H92" s="27"/>
      <c r="I92" s="105"/>
      <c r="J92" s="36"/>
      <c r="K92" s="36"/>
      <c r="L92" s="66"/>
    </row>
    <row r="93" spans="1:12" ht="24.75" customHeight="1" x14ac:dyDescent="0.2">
      <c r="A93" s="98"/>
      <c r="B93" s="23" t="s">
        <v>170</v>
      </c>
      <c r="C93" s="17">
        <v>1</v>
      </c>
      <c r="D93" s="17" t="s">
        <v>35</v>
      </c>
      <c r="E93" s="18">
        <v>140</v>
      </c>
      <c r="F93" s="19">
        <f t="shared" si="6"/>
        <v>140</v>
      </c>
      <c r="G93" s="17"/>
      <c r="H93" s="27" t="s">
        <v>171</v>
      </c>
      <c r="I93" s="109"/>
      <c r="J93" s="36"/>
      <c r="K93" s="36"/>
      <c r="L93" s="67"/>
    </row>
    <row r="94" spans="1:12" ht="24.95" customHeight="1" x14ac:dyDescent="0.2">
      <c r="A94" s="99" t="s">
        <v>172</v>
      </c>
      <c r="B94" s="23" t="s">
        <v>173</v>
      </c>
      <c r="C94" s="17">
        <f>2.18*0.7</f>
        <v>1.526</v>
      </c>
      <c r="D94" s="17" t="s">
        <v>158</v>
      </c>
      <c r="E94" s="18">
        <f>((1008+1525)*1.2)*0.8</f>
        <v>2431.6799999999998</v>
      </c>
      <c r="F94" s="19">
        <f t="shared" si="6"/>
        <v>3710.7436799999996</v>
      </c>
      <c r="G94" s="104" t="s">
        <v>143</v>
      </c>
      <c r="H94" s="106" t="s">
        <v>144</v>
      </c>
      <c r="I94" s="104" t="s">
        <v>230</v>
      </c>
      <c r="J94" s="36"/>
      <c r="K94" s="36"/>
      <c r="L94" s="63" t="s">
        <v>240</v>
      </c>
    </row>
    <row r="95" spans="1:12" ht="24.95" customHeight="1" x14ac:dyDescent="0.2">
      <c r="A95" s="100"/>
      <c r="B95" s="23" t="s">
        <v>174</v>
      </c>
      <c r="C95" s="17">
        <f>0.935*2.7</f>
        <v>2.5245000000000002</v>
      </c>
      <c r="D95" s="17" t="s">
        <v>158</v>
      </c>
      <c r="E95" s="18">
        <f>((1008+1750)*1.2)*0.8</f>
        <v>2647.6800000000003</v>
      </c>
      <c r="F95" s="19">
        <f t="shared" si="6"/>
        <v>6684.0681600000016</v>
      </c>
      <c r="G95" s="105"/>
      <c r="H95" s="107"/>
      <c r="I95" s="105"/>
      <c r="J95" s="36"/>
      <c r="K95" s="36"/>
      <c r="L95" s="64"/>
    </row>
    <row r="96" spans="1:12" ht="24.75" customHeight="1" x14ac:dyDescent="0.2">
      <c r="A96" s="100"/>
      <c r="B96" s="23" t="s">
        <v>151</v>
      </c>
      <c r="C96" s="17">
        <v>1.95</v>
      </c>
      <c r="D96" s="17" t="s">
        <v>152</v>
      </c>
      <c r="E96" s="18">
        <f>((1550+1525)*1.2)*0.8</f>
        <v>2952</v>
      </c>
      <c r="F96" s="19">
        <f t="shared" si="6"/>
        <v>5756.4</v>
      </c>
      <c r="G96" s="105"/>
      <c r="H96" s="107"/>
      <c r="I96" s="105"/>
      <c r="J96" s="36"/>
      <c r="K96" s="36"/>
      <c r="L96" s="64"/>
    </row>
    <row r="97" spans="1:12" ht="24.95" customHeight="1" x14ac:dyDescent="0.2">
      <c r="A97" s="100"/>
      <c r="B97" s="23" t="s">
        <v>153</v>
      </c>
      <c r="C97" s="17">
        <v>1.95</v>
      </c>
      <c r="D97" s="17" t="s">
        <v>152</v>
      </c>
      <c r="E97" s="18">
        <v>2376</v>
      </c>
      <c r="F97" s="19">
        <f t="shared" si="6"/>
        <v>4633.2</v>
      </c>
      <c r="G97" s="105"/>
      <c r="H97" s="107"/>
      <c r="I97" s="105"/>
      <c r="J97" s="36"/>
      <c r="K97" s="36"/>
      <c r="L97" s="64"/>
    </row>
    <row r="98" spans="1:12" ht="24.95" customHeight="1" x14ac:dyDescent="0.2">
      <c r="A98" s="100"/>
      <c r="B98" s="23" t="s">
        <v>175</v>
      </c>
      <c r="C98" s="17">
        <v>3.9</v>
      </c>
      <c r="D98" s="17" t="s">
        <v>152</v>
      </c>
      <c r="E98" s="18">
        <v>1400</v>
      </c>
      <c r="F98" s="19">
        <f t="shared" si="6"/>
        <v>5460</v>
      </c>
      <c r="G98" s="105"/>
      <c r="H98" s="108"/>
      <c r="I98" s="105"/>
      <c r="J98" s="36"/>
      <c r="K98" s="36"/>
      <c r="L98" s="64"/>
    </row>
    <row r="99" spans="1:12" ht="24.75" customHeight="1" x14ac:dyDescent="0.2">
      <c r="A99" s="100"/>
      <c r="B99" s="23" t="s">
        <v>165</v>
      </c>
      <c r="C99" s="17">
        <v>2</v>
      </c>
      <c r="D99" s="17" t="s">
        <v>35</v>
      </c>
      <c r="E99" s="18">
        <v>384</v>
      </c>
      <c r="F99" s="19">
        <f t="shared" si="6"/>
        <v>768</v>
      </c>
      <c r="G99" s="46"/>
      <c r="H99" s="27" t="s">
        <v>166</v>
      </c>
      <c r="I99" s="105"/>
      <c r="J99" s="36"/>
      <c r="K99" s="36"/>
      <c r="L99" s="64"/>
    </row>
    <row r="100" spans="1:12" ht="24.95" customHeight="1" x14ac:dyDescent="0.2">
      <c r="A100" s="100"/>
      <c r="B100" s="23" t="s">
        <v>167</v>
      </c>
      <c r="C100" s="17">
        <v>14</v>
      </c>
      <c r="D100" s="17" t="s">
        <v>35</v>
      </c>
      <c r="E100" s="18">
        <v>44</v>
      </c>
      <c r="F100" s="19">
        <f t="shared" si="6"/>
        <v>616</v>
      </c>
      <c r="G100" s="46"/>
      <c r="H100" s="17"/>
      <c r="I100" s="105"/>
      <c r="J100" s="36"/>
      <c r="K100" s="36"/>
      <c r="L100" s="64"/>
    </row>
    <row r="101" spans="1:12" ht="24.95" customHeight="1" x14ac:dyDescent="0.2">
      <c r="A101" s="100"/>
      <c r="B101" s="23" t="s">
        <v>168</v>
      </c>
      <c r="C101" s="17">
        <v>6.7</v>
      </c>
      <c r="D101" s="17" t="s">
        <v>81</v>
      </c>
      <c r="E101" s="18">
        <v>116</v>
      </c>
      <c r="F101" s="19">
        <f t="shared" si="6"/>
        <v>777.2</v>
      </c>
      <c r="G101" s="46"/>
      <c r="H101" s="17"/>
      <c r="I101" s="105"/>
      <c r="J101" s="36"/>
      <c r="K101" s="36"/>
      <c r="L101" s="64"/>
    </row>
    <row r="102" spans="1:12" ht="24.75" customHeight="1" x14ac:dyDescent="0.2">
      <c r="A102" s="101"/>
      <c r="B102" s="23" t="s">
        <v>176</v>
      </c>
      <c r="C102" s="17">
        <v>2</v>
      </c>
      <c r="D102" s="17" t="s">
        <v>35</v>
      </c>
      <c r="E102" s="18">
        <v>140</v>
      </c>
      <c r="F102" s="19">
        <f t="shared" si="6"/>
        <v>280</v>
      </c>
      <c r="G102" s="46"/>
      <c r="H102" s="27" t="s">
        <v>171</v>
      </c>
      <c r="I102" s="109"/>
      <c r="J102" s="36"/>
      <c r="K102" s="36"/>
      <c r="L102" s="65"/>
    </row>
    <row r="103" spans="1:12" ht="24.95" customHeight="1" x14ac:dyDescent="0.2">
      <c r="A103" s="99" t="s">
        <v>177</v>
      </c>
      <c r="B103" s="23" t="s">
        <v>178</v>
      </c>
      <c r="C103" s="17">
        <f>3.1*2.75</f>
        <v>8.5250000000000004</v>
      </c>
      <c r="D103" s="17" t="s">
        <v>158</v>
      </c>
      <c r="E103" s="18">
        <f>((1008+1525)*1.2)*0.8</f>
        <v>2431.6799999999998</v>
      </c>
      <c r="F103" s="19">
        <f t="shared" ref="F103:F133" si="7">E103*C103</f>
        <v>20730.072</v>
      </c>
      <c r="G103" s="104" t="s">
        <v>143</v>
      </c>
      <c r="H103" s="106" t="s">
        <v>144</v>
      </c>
      <c r="I103" s="104" t="s">
        <v>230</v>
      </c>
      <c r="J103" s="36"/>
      <c r="K103" s="36"/>
      <c r="L103" s="63" t="s">
        <v>240</v>
      </c>
    </row>
    <row r="104" spans="1:12" ht="24.95" customHeight="1" x14ac:dyDescent="0.2">
      <c r="A104" s="100"/>
      <c r="B104" s="23" t="s">
        <v>179</v>
      </c>
      <c r="C104" s="17">
        <v>7</v>
      </c>
      <c r="D104" s="17" t="s">
        <v>152</v>
      </c>
      <c r="E104" s="18">
        <f>(2025)*0.8</f>
        <v>1620</v>
      </c>
      <c r="F104" s="19">
        <f t="shared" si="7"/>
        <v>11340</v>
      </c>
      <c r="G104" s="105"/>
      <c r="H104" s="107"/>
      <c r="I104" s="105"/>
      <c r="J104" s="36"/>
      <c r="K104" s="36"/>
      <c r="L104" s="64"/>
    </row>
    <row r="105" spans="1:12" ht="24.75" customHeight="1" x14ac:dyDescent="0.2">
      <c r="A105" s="100"/>
      <c r="B105" s="23" t="s">
        <v>180</v>
      </c>
      <c r="C105" s="17">
        <v>1</v>
      </c>
      <c r="D105" s="17" t="s">
        <v>35</v>
      </c>
      <c r="E105" s="18">
        <v>480</v>
      </c>
      <c r="F105" s="19">
        <f t="shared" si="7"/>
        <v>480</v>
      </c>
      <c r="G105" s="105"/>
      <c r="H105" s="107"/>
      <c r="I105" s="105"/>
      <c r="J105" s="36"/>
      <c r="K105" s="36"/>
      <c r="L105" s="64"/>
    </row>
    <row r="106" spans="1:12" ht="24.95" customHeight="1" x14ac:dyDescent="0.2">
      <c r="A106" s="100"/>
      <c r="B106" s="23" t="s">
        <v>151</v>
      </c>
      <c r="C106" s="17">
        <v>1.95</v>
      </c>
      <c r="D106" s="17" t="s">
        <v>152</v>
      </c>
      <c r="E106" s="18">
        <f>((1550+1525)*1.2)*0.8</f>
        <v>2952</v>
      </c>
      <c r="F106" s="19">
        <f t="shared" si="7"/>
        <v>5756.4</v>
      </c>
      <c r="G106" s="105"/>
      <c r="H106" s="107"/>
      <c r="I106" s="105"/>
      <c r="J106" s="36"/>
      <c r="K106" s="36"/>
      <c r="L106" s="64"/>
    </row>
    <row r="107" spans="1:12" ht="24.95" customHeight="1" x14ac:dyDescent="0.2">
      <c r="A107" s="100"/>
      <c r="B107" s="23" t="s">
        <v>153</v>
      </c>
      <c r="C107" s="17">
        <v>1.95</v>
      </c>
      <c r="D107" s="17" t="s">
        <v>152</v>
      </c>
      <c r="E107" s="18">
        <v>2376</v>
      </c>
      <c r="F107" s="19">
        <f t="shared" si="7"/>
        <v>4633.2</v>
      </c>
      <c r="G107" s="109"/>
      <c r="H107" s="108"/>
      <c r="I107" s="105"/>
      <c r="J107" s="36"/>
      <c r="K107" s="36"/>
      <c r="L107" s="64"/>
    </row>
    <row r="108" spans="1:12" ht="24.75" customHeight="1" x14ac:dyDescent="0.2">
      <c r="A108" s="100"/>
      <c r="B108" s="23" t="s">
        <v>181</v>
      </c>
      <c r="C108" s="17">
        <v>3.84</v>
      </c>
      <c r="D108" s="17" t="s">
        <v>155</v>
      </c>
      <c r="E108" s="18">
        <v>920</v>
      </c>
      <c r="F108" s="19">
        <f t="shared" si="7"/>
        <v>3532.7999999999997</v>
      </c>
      <c r="G108" s="46"/>
      <c r="H108" s="27"/>
      <c r="I108" s="105"/>
      <c r="J108" s="36"/>
      <c r="K108" s="36"/>
      <c r="L108" s="64"/>
    </row>
    <row r="109" spans="1:12" ht="24.95" customHeight="1" x14ac:dyDescent="0.2">
      <c r="A109" s="100"/>
      <c r="B109" s="23" t="s">
        <v>165</v>
      </c>
      <c r="C109" s="17">
        <v>2</v>
      </c>
      <c r="D109" s="17" t="s">
        <v>35</v>
      </c>
      <c r="E109" s="18">
        <v>384</v>
      </c>
      <c r="F109" s="19">
        <f t="shared" si="7"/>
        <v>768</v>
      </c>
      <c r="G109" s="46"/>
      <c r="H109" s="27"/>
      <c r="I109" s="105"/>
      <c r="J109" s="36"/>
      <c r="K109" s="36"/>
      <c r="L109" s="64"/>
    </row>
    <row r="110" spans="1:12" ht="24.95" customHeight="1" x14ac:dyDescent="0.2">
      <c r="A110" s="100"/>
      <c r="B110" s="23" t="s">
        <v>167</v>
      </c>
      <c r="C110" s="17">
        <v>6</v>
      </c>
      <c r="D110" s="17" t="s">
        <v>35</v>
      </c>
      <c r="E110" s="18">
        <v>44</v>
      </c>
      <c r="F110" s="19">
        <f t="shared" si="7"/>
        <v>264</v>
      </c>
      <c r="G110" s="46"/>
      <c r="H110" s="27"/>
      <c r="I110" s="105"/>
      <c r="J110" s="36"/>
      <c r="K110" s="36"/>
      <c r="L110" s="64"/>
    </row>
    <row r="111" spans="1:12" ht="24.75" customHeight="1" x14ac:dyDescent="0.2">
      <c r="A111" s="101"/>
      <c r="B111" s="23" t="s">
        <v>182</v>
      </c>
      <c r="C111" s="17">
        <v>16</v>
      </c>
      <c r="D111" s="17" t="s">
        <v>35</v>
      </c>
      <c r="E111" s="18">
        <v>28</v>
      </c>
      <c r="F111" s="19">
        <f t="shared" si="7"/>
        <v>448</v>
      </c>
      <c r="G111" s="46"/>
      <c r="H111" s="27"/>
      <c r="I111" s="109"/>
      <c r="J111" s="36"/>
      <c r="K111" s="36"/>
      <c r="L111" s="65"/>
    </row>
    <row r="112" spans="1:12" ht="24.75" customHeight="1" x14ac:dyDescent="0.2">
      <c r="A112" s="99" t="s">
        <v>183</v>
      </c>
      <c r="B112" s="23" t="s">
        <v>157</v>
      </c>
      <c r="C112" s="17">
        <v>4.9800000000000004</v>
      </c>
      <c r="D112" s="17" t="s">
        <v>158</v>
      </c>
      <c r="E112" s="18">
        <f>((1008+1525)*1.2)*0.8</f>
        <v>2431.6799999999998</v>
      </c>
      <c r="F112" s="19">
        <f t="shared" si="7"/>
        <v>12109.7664</v>
      </c>
      <c r="G112" s="46"/>
      <c r="H112" s="27" t="s">
        <v>144</v>
      </c>
      <c r="I112" s="104" t="s">
        <v>230</v>
      </c>
      <c r="J112" s="36"/>
      <c r="K112" s="36"/>
      <c r="L112" s="63" t="s">
        <v>240</v>
      </c>
    </row>
    <row r="113" spans="1:12" ht="24.75" customHeight="1" x14ac:dyDescent="0.2">
      <c r="A113" s="100"/>
      <c r="B113" s="23" t="s">
        <v>184</v>
      </c>
      <c r="C113" s="17">
        <v>1.32</v>
      </c>
      <c r="D113" s="17" t="s">
        <v>155</v>
      </c>
      <c r="E113" s="18">
        <v>920</v>
      </c>
      <c r="F113" s="19">
        <f t="shared" si="7"/>
        <v>1214.4000000000001</v>
      </c>
      <c r="G113" s="46"/>
      <c r="H113" s="27"/>
      <c r="I113" s="105"/>
      <c r="J113" s="36"/>
      <c r="K113" s="36"/>
      <c r="L113" s="64"/>
    </row>
    <row r="114" spans="1:12" ht="24.75" customHeight="1" x14ac:dyDescent="0.2">
      <c r="A114" s="100"/>
      <c r="B114" s="23" t="s">
        <v>167</v>
      </c>
      <c r="C114" s="17">
        <v>4</v>
      </c>
      <c r="D114" s="17" t="s">
        <v>35</v>
      </c>
      <c r="E114" s="18">
        <v>44</v>
      </c>
      <c r="F114" s="19">
        <f t="shared" si="7"/>
        <v>176</v>
      </c>
      <c r="G114" s="46"/>
      <c r="H114" s="27"/>
      <c r="I114" s="105"/>
      <c r="J114" s="36"/>
      <c r="K114" s="36"/>
      <c r="L114" s="64"/>
    </row>
    <row r="115" spans="1:12" ht="24.75" customHeight="1" x14ac:dyDescent="0.2">
      <c r="A115" s="100"/>
      <c r="B115" s="23" t="s">
        <v>182</v>
      </c>
      <c r="C115" s="17">
        <v>8</v>
      </c>
      <c r="D115" s="17" t="s">
        <v>35</v>
      </c>
      <c r="E115" s="18">
        <v>28</v>
      </c>
      <c r="F115" s="19">
        <f t="shared" si="7"/>
        <v>224</v>
      </c>
      <c r="G115" s="46"/>
      <c r="H115" s="27"/>
      <c r="I115" s="109"/>
      <c r="J115" s="36"/>
      <c r="K115" s="36"/>
      <c r="L115" s="65"/>
    </row>
    <row r="116" spans="1:12" ht="24.75" customHeight="1" x14ac:dyDescent="0.2">
      <c r="A116" s="99" t="s">
        <v>185</v>
      </c>
      <c r="B116" s="23" t="s">
        <v>186</v>
      </c>
      <c r="C116" s="17">
        <f>2.8*2.7</f>
        <v>7.56</v>
      </c>
      <c r="D116" s="17" t="s">
        <v>158</v>
      </c>
      <c r="E116" s="18">
        <f>((1008+1525)*1.2)*0.8</f>
        <v>2431.6799999999998</v>
      </c>
      <c r="F116" s="19">
        <f t="shared" si="7"/>
        <v>18383.500799999998</v>
      </c>
      <c r="G116" s="104" t="s">
        <v>143</v>
      </c>
      <c r="H116" s="106" t="s">
        <v>144</v>
      </c>
      <c r="I116" s="104" t="s">
        <v>230</v>
      </c>
      <c r="J116" s="36"/>
      <c r="K116" s="36"/>
      <c r="L116" s="63" t="s">
        <v>240</v>
      </c>
    </row>
    <row r="117" spans="1:12" ht="24.75" customHeight="1" x14ac:dyDescent="0.2">
      <c r="A117" s="100"/>
      <c r="B117" s="23" t="s">
        <v>187</v>
      </c>
      <c r="C117" s="17">
        <f>1.66*0.2</f>
        <v>0.33200000000000002</v>
      </c>
      <c r="D117" s="17" t="s">
        <v>158</v>
      </c>
      <c r="E117" s="18">
        <f>((1008+1525)*1.2)*0.8</f>
        <v>2431.6799999999998</v>
      </c>
      <c r="F117" s="19">
        <f t="shared" si="7"/>
        <v>807.31776000000002</v>
      </c>
      <c r="G117" s="105"/>
      <c r="H117" s="107"/>
      <c r="I117" s="105"/>
      <c r="J117" s="36"/>
      <c r="K117" s="36"/>
      <c r="L117" s="64"/>
    </row>
    <row r="118" spans="1:12" ht="24.75" customHeight="1" x14ac:dyDescent="0.2">
      <c r="A118" s="100"/>
      <c r="B118" s="23" t="s">
        <v>188</v>
      </c>
      <c r="C118" s="17">
        <v>1.62</v>
      </c>
      <c r="D118" s="17" t="s">
        <v>158</v>
      </c>
      <c r="E118" s="18">
        <v>216</v>
      </c>
      <c r="F118" s="19">
        <f t="shared" si="7"/>
        <v>349.92</v>
      </c>
      <c r="G118" s="109"/>
      <c r="H118" s="108"/>
      <c r="I118" s="105"/>
      <c r="J118" s="36"/>
      <c r="K118" s="36"/>
      <c r="L118" s="64"/>
    </row>
    <row r="119" spans="1:12" ht="24.75" customHeight="1" x14ac:dyDescent="0.2">
      <c r="A119" s="100"/>
      <c r="B119" s="23" t="s">
        <v>165</v>
      </c>
      <c r="C119" s="17">
        <v>5</v>
      </c>
      <c r="D119" s="17" t="s">
        <v>35</v>
      </c>
      <c r="E119" s="18">
        <v>384</v>
      </c>
      <c r="F119" s="19">
        <f t="shared" si="7"/>
        <v>1920</v>
      </c>
      <c r="G119" s="46"/>
      <c r="H119" s="27"/>
      <c r="I119" s="105"/>
      <c r="J119" s="36"/>
      <c r="K119" s="36"/>
      <c r="L119" s="64"/>
    </row>
    <row r="120" spans="1:12" ht="24.75" customHeight="1" x14ac:dyDescent="0.2">
      <c r="A120" s="100"/>
      <c r="B120" s="23" t="s">
        <v>167</v>
      </c>
      <c r="C120" s="17">
        <v>9</v>
      </c>
      <c r="D120" s="17" t="s">
        <v>35</v>
      </c>
      <c r="E120" s="18">
        <v>44</v>
      </c>
      <c r="F120" s="19">
        <f t="shared" si="7"/>
        <v>396</v>
      </c>
      <c r="G120" s="46"/>
      <c r="H120" s="27"/>
      <c r="I120" s="105"/>
      <c r="J120" s="36"/>
      <c r="K120" s="36"/>
      <c r="L120" s="64"/>
    </row>
    <row r="121" spans="1:12" ht="24.75" customHeight="1" x14ac:dyDescent="0.2">
      <c r="A121" s="100"/>
      <c r="B121" s="23" t="s">
        <v>168</v>
      </c>
      <c r="C121" s="17">
        <v>1.8</v>
      </c>
      <c r="D121" s="17" t="s">
        <v>81</v>
      </c>
      <c r="E121" s="18">
        <v>116</v>
      </c>
      <c r="F121" s="19">
        <f t="shared" si="7"/>
        <v>208.8</v>
      </c>
      <c r="G121" s="46"/>
      <c r="H121" s="27"/>
      <c r="I121" s="105"/>
      <c r="J121" s="36"/>
      <c r="K121" s="36"/>
      <c r="L121" s="64"/>
    </row>
    <row r="122" spans="1:12" ht="24.75" customHeight="1" x14ac:dyDescent="0.2">
      <c r="A122" s="100"/>
      <c r="B122" s="23" t="s">
        <v>176</v>
      </c>
      <c r="C122" s="17">
        <v>1</v>
      </c>
      <c r="D122" s="17" t="s">
        <v>35</v>
      </c>
      <c r="E122" s="18">
        <v>140</v>
      </c>
      <c r="F122" s="19">
        <f t="shared" si="7"/>
        <v>140</v>
      </c>
      <c r="G122" s="46"/>
      <c r="H122" s="27"/>
      <c r="I122" s="109"/>
      <c r="J122" s="36"/>
      <c r="K122" s="36"/>
      <c r="L122" s="65"/>
    </row>
    <row r="123" spans="1:12" ht="24.75" customHeight="1" x14ac:dyDescent="0.2">
      <c r="A123" s="99" t="s">
        <v>189</v>
      </c>
      <c r="B123" s="23" t="s">
        <v>190</v>
      </c>
      <c r="C123" s="17">
        <f>6.32*2.7</f>
        <v>17.064000000000004</v>
      </c>
      <c r="D123" s="17" t="s">
        <v>158</v>
      </c>
      <c r="E123" s="18">
        <v>2432</v>
      </c>
      <c r="F123" s="19">
        <f t="shared" si="7"/>
        <v>41499.648000000008</v>
      </c>
      <c r="G123" s="104" t="s">
        <v>143</v>
      </c>
      <c r="H123" s="106" t="s">
        <v>144</v>
      </c>
      <c r="I123" s="104" t="s">
        <v>230</v>
      </c>
      <c r="J123" s="36"/>
      <c r="K123" s="36"/>
      <c r="L123" s="63" t="s">
        <v>240</v>
      </c>
    </row>
    <row r="124" spans="1:12" ht="24.75" customHeight="1" x14ac:dyDescent="0.2">
      <c r="A124" s="100"/>
      <c r="B124" s="23" t="s">
        <v>188</v>
      </c>
      <c r="C124" s="17">
        <v>4.8600000000000003</v>
      </c>
      <c r="D124" s="17" t="s">
        <v>158</v>
      </c>
      <c r="E124" s="18">
        <v>216</v>
      </c>
      <c r="F124" s="19">
        <f t="shared" si="7"/>
        <v>1049.76</v>
      </c>
      <c r="G124" s="105"/>
      <c r="H124" s="107"/>
      <c r="I124" s="105"/>
      <c r="J124" s="36"/>
      <c r="K124" s="36"/>
      <c r="L124" s="64"/>
    </row>
    <row r="125" spans="1:12" ht="24.75" customHeight="1" x14ac:dyDescent="0.2">
      <c r="A125" s="100"/>
      <c r="B125" s="23" t="s">
        <v>191</v>
      </c>
      <c r="C125" s="17">
        <v>5.4</v>
      </c>
      <c r="D125" s="17" t="s">
        <v>81</v>
      </c>
      <c r="E125" s="18">
        <v>240</v>
      </c>
      <c r="F125" s="19">
        <f t="shared" si="7"/>
        <v>1296</v>
      </c>
      <c r="G125" s="109"/>
      <c r="H125" s="108"/>
      <c r="I125" s="105"/>
      <c r="J125" s="36"/>
      <c r="K125" s="36"/>
      <c r="L125" s="64"/>
    </row>
    <row r="126" spans="1:12" ht="24.75" customHeight="1" x14ac:dyDescent="0.2">
      <c r="A126" s="100"/>
      <c r="B126" s="23" t="s">
        <v>165</v>
      </c>
      <c r="C126" s="17">
        <v>2</v>
      </c>
      <c r="D126" s="17" t="s">
        <v>35</v>
      </c>
      <c r="E126" s="18">
        <v>384</v>
      </c>
      <c r="F126" s="19">
        <f t="shared" si="7"/>
        <v>768</v>
      </c>
      <c r="G126" s="46"/>
      <c r="H126" s="27"/>
      <c r="I126" s="105"/>
      <c r="J126" s="36"/>
      <c r="K126" s="36"/>
      <c r="L126" s="64"/>
    </row>
    <row r="127" spans="1:12" ht="24.75" customHeight="1" x14ac:dyDescent="0.2">
      <c r="A127" s="100"/>
      <c r="B127" s="23" t="s">
        <v>167</v>
      </c>
      <c r="C127" s="17">
        <v>6</v>
      </c>
      <c r="D127" s="17" t="s">
        <v>35</v>
      </c>
      <c r="E127" s="18">
        <v>28</v>
      </c>
      <c r="F127" s="19">
        <f t="shared" si="7"/>
        <v>168</v>
      </c>
      <c r="G127" s="46"/>
      <c r="H127" s="27"/>
      <c r="I127" s="105"/>
      <c r="J127" s="36"/>
      <c r="K127" s="36"/>
      <c r="L127" s="64"/>
    </row>
    <row r="128" spans="1:12" ht="24.75" customHeight="1" x14ac:dyDescent="0.2">
      <c r="A128" s="100"/>
      <c r="B128" s="23" t="s">
        <v>168</v>
      </c>
      <c r="C128" s="17">
        <v>5.4</v>
      </c>
      <c r="D128" s="17" t="s">
        <v>81</v>
      </c>
      <c r="E128" s="18">
        <v>116</v>
      </c>
      <c r="F128" s="19">
        <f t="shared" si="7"/>
        <v>626.40000000000009</v>
      </c>
      <c r="G128" s="46"/>
      <c r="H128" s="27"/>
      <c r="I128" s="105"/>
      <c r="J128" s="36"/>
      <c r="K128" s="36"/>
      <c r="L128" s="64"/>
    </row>
    <row r="129" spans="1:12" ht="24.75" customHeight="1" x14ac:dyDescent="0.2">
      <c r="A129" s="100"/>
      <c r="B129" s="23" t="s">
        <v>176</v>
      </c>
      <c r="C129" s="17">
        <v>2</v>
      </c>
      <c r="D129" s="17" t="s">
        <v>35</v>
      </c>
      <c r="E129" s="18">
        <v>140</v>
      </c>
      <c r="F129" s="19">
        <f t="shared" si="7"/>
        <v>280</v>
      </c>
      <c r="G129" s="46"/>
      <c r="H129" s="27"/>
      <c r="I129" s="109"/>
      <c r="J129" s="36"/>
      <c r="K129" s="36"/>
      <c r="L129" s="65"/>
    </row>
    <row r="130" spans="1:12" ht="24.75" customHeight="1" x14ac:dyDescent="0.2">
      <c r="A130" s="96" t="s">
        <v>72</v>
      </c>
      <c r="B130" s="23" t="s">
        <v>186</v>
      </c>
      <c r="C130" s="17">
        <f>1.96*2.7</f>
        <v>5.2919999999999998</v>
      </c>
      <c r="D130" s="17" t="s">
        <v>158</v>
      </c>
      <c r="E130" s="18">
        <v>2432</v>
      </c>
      <c r="F130" s="19">
        <f t="shared" si="7"/>
        <v>12870.144</v>
      </c>
      <c r="G130" s="104" t="s">
        <v>143</v>
      </c>
      <c r="H130" s="106" t="s">
        <v>144</v>
      </c>
      <c r="I130" s="104" t="s">
        <v>230</v>
      </c>
      <c r="J130" s="36"/>
      <c r="K130" s="36"/>
      <c r="L130" s="63" t="s">
        <v>240</v>
      </c>
    </row>
    <row r="131" spans="1:12" ht="24.75" customHeight="1" x14ac:dyDescent="0.2">
      <c r="A131" s="97"/>
      <c r="B131" s="23" t="s">
        <v>192</v>
      </c>
      <c r="C131" s="17">
        <f>1.3*1.4</f>
        <v>1.8199999999999998</v>
      </c>
      <c r="D131" s="17" t="s">
        <v>158</v>
      </c>
      <c r="E131" s="18">
        <v>2648</v>
      </c>
      <c r="F131" s="19">
        <f t="shared" si="7"/>
        <v>4819.3599999999997</v>
      </c>
      <c r="G131" s="105"/>
      <c r="H131" s="107"/>
      <c r="I131" s="105"/>
      <c r="J131" s="36"/>
      <c r="K131" s="36"/>
      <c r="L131" s="64"/>
    </row>
    <row r="132" spans="1:12" ht="24.75" customHeight="1" x14ac:dyDescent="0.2">
      <c r="A132" s="97"/>
      <c r="B132" s="23" t="s">
        <v>193</v>
      </c>
      <c r="C132" s="17">
        <f>1.9*0.2</f>
        <v>0.38</v>
      </c>
      <c r="D132" s="17" t="s">
        <v>158</v>
      </c>
      <c r="E132" s="18">
        <v>2672</v>
      </c>
      <c r="F132" s="19">
        <f t="shared" si="7"/>
        <v>1015.36</v>
      </c>
      <c r="G132" s="105"/>
      <c r="H132" s="107"/>
      <c r="I132" s="105"/>
      <c r="J132" s="36"/>
      <c r="K132" s="36"/>
      <c r="L132" s="64"/>
    </row>
    <row r="133" spans="1:12" ht="24.75" customHeight="1" x14ac:dyDescent="0.2">
      <c r="A133" s="97"/>
      <c r="B133" s="23" t="s">
        <v>194</v>
      </c>
      <c r="C133" s="17">
        <f>1.2*1.6</f>
        <v>1.92</v>
      </c>
      <c r="D133" s="17" t="s">
        <v>158</v>
      </c>
      <c r="E133" s="18">
        <f>(1525*1.2)*0.8</f>
        <v>1464</v>
      </c>
      <c r="F133" s="19">
        <f t="shared" si="7"/>
        <v>2810.88</v>
      </c>
      <c r="G133" s="105"/>
      <c r="H133" s="107"/>
      <c r="I133" s="105"/>
      <c r="J133" s="36"/>
      <c r="K133" s="36"/>
      <c r="L133" s="64"/>
    </row>
    <row r="134" spans="1:12" ht="24.75" customHeight="1" x14ac:dyDescent="0.2">
      <c r="A134" s="97"/>
      <c r="B134" s="23" t="s">
        <v>195</v>
      </c>
      <c r="C134" s="17">
        <v>1.2</v>
      </c>
      <c r="D134" s="17" t="s">
        <v>81</v>
      </c>
      <c r="E134" s="18">
        <v>640</v>
      </c>
      <c r="F134" s="19">
        <f t="shared" ref="F134:F142" si="8">E134*C134</f>
        <v>768</v>
      </c>
      <c r="G134" s="109"/>
      <c r="H134" s="108"/>
      <c r="I134" s="105"/>
      <c r="J134" s="36"/>
      <c r="K134" s="36"/>
      <c r="L134" s="64"/>
    </row>
    <row r="135" spans="1:12" ht="24.75" customHeight="1" x14ac:dyDescent="0.2">
      <c r="A135" s="97"/>
      <c r="B135" s="23" t="s">
        <v>165</v>
      </c>
      <c r="C135" s="17">
        <v>5</v>
      </c>
      <c r="D135" s="17" t="s">
        <v>35</v>
      </c>
      <c r="E135" s="18">
        <v>384</v>
      </c>
      <c r="F135" s="19">
        <f t="shared" si="8"/>
        <v>1920</v>
      </c>
      <c r="G135" s="46"/>
      <c r="H135" s="27"/>
      <c r="I135" s="105"/>
      <c r="J135" s="36"/>
      <c r="K135" s="36"/>
      <c r="L135" s="64"/>
    </row>
    <row r="136" spans="1:12" ht="24.75" customHeight="1" x14ac:dyDescent="0.2">
      <c r="A136" s="97"/>
      <c r="B136" s="23" t="s">
        <v>167</v>
      </c>
      <c r="C136" s="17">
        <v>9</v>
      </c>
      <c r="D136" s="17" t="s">
        <v>35</v>
      </c>
      <c r="E136" s="18">
        <v>28</v>
      </c>
      <c r="F136" s="19">
        <f t="shared" si="8"/>
        <v>252</v>
      </c>
      <c r="G136" s="46"/>
      <c r="H136" s="27"/>
      <c r="I136" s="105"/>
      <c r="J136" s="36"/>
      <c r="K136" s="36"/>
      <c r="L136" s="64"/>
    </row>
    <row r="137" spans="1:12" ht="24.75" customHeight="1" x14ac:dyDescent="0.2">
      <c r="A137" s="97"/>
      <c r="B137" s="23" t="s">
        <v>168</v>
      </c>
      <c r="C137" s="17">
        <v>12.6</v>
      </c>
      <c r="D137" s="17" t="s">
        <v>81</v>
      </c>
      <c r="E137" s="18">
        <v>116</v>
      </c>
      <c r="F137" s="19">
        <f t="shared" si="8"/>
        <v>1461.6</v>
      </c>
      <c r="G137" s="46"/>
      <c r="H137" s="27"/>
      <c r="I137" s="105"/>
      <c r="J137" s="36"/>
      <c r="K137" s="36"/>
      <c r="L137" s="64"/>
    </row>
    <row r="138" spans="1:12" ht="24.75" customHeight="1" x14ac:dyDescent="0.2">
      <c r="A138" s="97"/>
      <c r="B138" s="23" t="s">
        <v>176</v>
      </c>
      <c r="C138" s="17">
        <v>2</v>
      </c>
      <c r="D138" s="17" t="s">
        <v>35</v>
      </c>
      <c r="E138" s="18">
        <v>140</v>
      </c>
      <c r="F138" s="19">
        <f t="shared" si="8"/>
        <v>280</v>
      </c>
      <c r="G138" s="46"/>
      <c r="H138" s="27"/>
      <c r="I138" s="109"/>
      <c r="J138" s="36"/>
      <c r="K138" s="36"/>
      <c r="L138" s="65"/>
    </row>
    <row r="139" spans="1:12" ht="24.75" customHeight="1" x14ac:dyDescent="0.2">
      <c r="A139" s="96" t="s">
        <v>196</v>
      </c>
      <c r="B139" s="23" t="s">
        <v>197</v>
      </c>
      <c r="C139" s="17">
        <f>1.5*0.6</f>
        <v>0.89999999999999991</v>
      </c>
      <c r="D139" s="17" t="s">
        <v>158</v>
      </c>
      <c r="E139" s="18">
        <v>2432</v>
      </c>
      <c r="F139" s="19">
        <f t="shared" si="8"/>
        <v>2188.7999999999997</v>
      </c>
      <c r="G139" s="46"/>
      <c r="H139" s="27"/>
      <c r="I139" s="104" t="s">
        <v>230</v>
      </c>
      <c r="J139" s="36"/>
      <c r="K139" s="36"/>
      <c r="L139" s="63" t="s">
        <v>240</v>
      </c>
    </row>
    <row r="140" spans="1:12" ht="24.75" customHeight="1" x14ac:dyDescent="0.2">
      <c r="A140" s="97"/>
      <c r="B140" s="23" t="s">
        <v>198</v>
      </c>
      <c r="C140" s="17">
        <f>1.5*1</f>
        <v>1.5</v>
      </c>
      <c r="D140" s="17" t="s">
        <v>158</v>
      </c>
      <c r="E140" s="18">
        <f>((1008+425+150+200)*1.2)*0.8</f>
        <v>1711.68</v>
      </c>
      <c r="F140" s="19">
        <f t="shared" si="8"/>
        <v>2567.52</v>
      </c>
      <c r="G140" s="46" t="s">
        <v>143</v>
      </c>
      <c r="H140" s="27" t="s">
        <v>144</v>
      </c>
      <c r="I140" s="105"/>
      <c r="J140" s="36"/>
      <c r="K140" s="36"/>
      <c r="L140" s="64"/>
    </row>
    <row r="141" spans="1:12" ht="24.75" customHeight="1" x14ac:dyDescent="0.2">
      <c r="A141" s="97"/>
      <c r="B141" s="23" t="s">
        <v>199</v>
      </c>
      <c r="C141" s="17">
        <v>1.36</v>
      </c>
      <c r="D141" s="17" t="s">
        <v>155</v>
      </c>
      <c r="E141" s="18">
        <v>1400</v>
      </c>
      <c r="F141" s="19">
        <f t="shared" si="8"/>
        <v>1904.0000000000002</v>
      </c>
      <c r="G141" s="46"/>
      <c r="H141" s="27"/>
      <c r="I141" s="105"/>
      <c r="J141" s="36"/>
      <c r="K141" s="36"/>
      <c r="L141" s="64"/>
    </row>
    <row r="142" spans="1:12" ht="24.75" customHeight="1" x14ac:dyDescent="0.2">
      <c r="A142" s="97"/>
      <c r="B142" s="23" t="s">
        <v>200</v>
      </c>
      <c r="C142" s="17">
        <v>1</v>
      </c>
      <c r="D142" s="17" t="s">
        <v>54</v>
      </c>
      <c r="E142" s="18">
        <v>960</v>
      </c>
      <c r="F142" s="19">
        <f t="shared" si="8"/>
        <v>960</v>
      </c>
      <c r="G142" s="46"/>
      <c r="H142" s="27"/>
      <c r="I142" s="105"/>
      <c r="J142" s="36"/>
      <c r="K142" s="36"/>
      <c r="L142" s="64"/>
    </row>
    <row r="143" spans="1:12" ht="24.75" customHeight="1" x14ac:dyDescent="0.2">
      <c r="A143" s="97"/>
      <c r="B143" s="23" t="s">
        <v>165</v>
      </c>
      <c r="C143" s="17">
        <v>6</v>
      </c>
      <c r="D143" s="17" t="s">
        <v>35</v>
      </c>
      <c r="E143" s="18">
        <v>384</v>
      </c>
      <c r="F143" s="19">
        <f t="shared" ref="F143:F154" si="9">E143*C143</f>
        <v>2304</v>
      </c>
      <c r="G143" s="46"/>
      <c r="H143" s="27"/>
      <c r="I143" s="105"/>
      <c r="J143" s="36"/>
      <c r="K143" s="36"/>
      <c r="L143" s="64"/>
    </row>
    <row r="144" spans="1:12" ht="24.75" customHeight="1" x14ac:dyDescent="0.2">
      <c r="A144" s="97"/>
      <c r="B144" s="23" t="s">
        <v>167</v>
      </c>
      <c r="C144" s="17">
        <v>6</v>
      </c>
      <c r="D144" s="17" t="s">
        <v>35</v>
      </c>
      <c r="E144" s="18">
        <v>44</v>
      </c>
      <c r="F144" s="19">
        <f t="shared" si="9"/>
        <v>264</v>
      </c>
      <c r="G144" s="46"/>
      <c r="H144" s="27"/>
      <c r="I144" s="105"/>
      <c r="J144" s="36"/>
      <c r="K144" s="36"/>
      <c r="L144" s="64"/>
    </row>
    <row r="145" spans="1:12" ht="24.75" customHeight="1" x14ac:dyDescent="0.2">
      <c r="A145" s="97"/>
      <c r="B145" s="23" t="s">
        <v>168</v>
      </c>
      <c r="C145" s="17">
        <v>3</v>
      </c>
      <c r="D145" s="17" t="s">
        <v>81</v>
      </c>
      <c r="E145" s="18">
        <v>116</v>
      </c>
      <c r="F145" s="19">
        <f t="shared" si="9"/>
        <v>348</v>
      </c>
      <c r="G145" s="46"/>
      <c r="H145" s="27"/>
      <c r="I145" s="105"/>
      <c r="J145" s="36"/>
      <c r="K145" s="36"/>
      <c r="L145" s="64"/>
    </row>
    <row r="146" spans="1:12" ht="24.75" customHeight="1" x14ac:dyDescent="0.2">
      <c r="A146" s="97"/>
      <c r="B146" s="23" t="s">
        <v>176</v>
      </c>
      <c r="C146" s="17">
        <v>1</v>
      </c>
      <c r="D146" s="17" t="s">
        <v>35</v>
      </c>
      <c r="E146" s="18">
        <v>140</v>
      </c>
      <c r="F146" s="19">
        <f t="shared" si="9"/>
        <v>140</v>
      </c>
      <c r="G146" s="46"/>
      <c r="H146" s="27"/>
      <c r="I146" s="109"/>
      <c r="J146" s="36"/>
      <c r="K146" s="36"/>
      <c r="L146" s="65"/>
    </row>
    <row r="147" spans="1:12" ht="24.75" customHeight="1" x14ac:dyDescent="0.2">
      <c r="A147" s="96" t="s">
        <v>201</v>
      </c>
      <c r="B147" s="23" t="s">
        <v>197</v>
      </c>
      <c r="C147" s="17">
        <f>1.1*0.6</f>
        <v>0.66</v>
      </c>
      <c r="D147" s="17" t="s">
        <v>158</v>
      </c>
      <c r="E147" s="18">
        <v>2432</v>
      </c>
      <c r="F147" s="19">
        <f t="shared" si="9"/>
        <v>1605.1200000000001</v>
      </c>
      <c r="G147" s="105" t="s">
        <v>143</v>
      </c>
      <c r="H147" s="106" t="s">
        <v>144</v>
      </c>
      <c r="I147" s="104" t="s">
        <v>230</v>
      </c>
      <c r="J147" s="36"/>
      <c r="K147" s="36"/>
      <c r="L147" s="63" t="s">
        <v>240</v>
      </c>
    </row>
    <row r="148" spans="1:12" ht="24.75" customHeight="1" x14ac:dyDescent="0.2">
      <c r="A148" s="97"/>
      <c r="B148" s="23" t="s">
        <v>157</v>
      </c>
      <c r="C148" s="17">
        <v>2.2999999999999998</v>
      </c>
      <c r="D148" s="17" t="s">
        <v>158</v>
      </c>
      <c r="E148" s="18">
        <v>2432</v>
      </c>
      <c r="F148" s="19">
        <f t="shared" si="9"/>
        <v>5593.5999999999995</v>
      </c>
      <c r="G148" s="105"/>
      <c r="H148" s="108"/>
      <c r="I148" s="105"/>
      <c r="J148" s="36"/>
      <c r="K148" s="36"/>
      <c r="L148" s="64"/>
    </row>
    <row r="149" spans="1:12" ht="24.75" customHeight="1" x14ac:dyDescent="0.2">
      <c r="A149" s="97"/>
      <c r="B149" s="23" t="s">
        <v>202</v>
      </c>
      <c r="C149" s="17">
        <v>1.04</v>
      </c>
      <c r="D149" s="17" t="s">
        <v>155</v>
      </c>
      <c r="E149" s="18">
        <v>1400</v>
      </c>
      <c r="F149" s="19">
        <f t="shared" si="9"/>
        <v>1456</v>
      </c>
      <c r="G149" s="47"/>
      <c r="H149" s="27"/>
      <c r="I149" s="105"/>
      <c r="J149" s="36"/>
      <c r="K149" s="36"/>
      <c r="L149" s="64"/>
    </row>
    <row r="150" spans="1:12" ht="24.75" customHeight="1" x14ac:dyDescent="0.2">
      <c r="A150" s="97"/>
      <c r="B150" s="23" t="s">
        <v>200</v>
      </c>
      <c r="C150" s="17">
        <v>1</v>
      </c>
      <c r="D150" s="17" t="s">
        <v>54</v>
      </c>
      <c r="E150" s="18">
        <v>960</v>
      </c>
      <c r="F150" s="19">
        <f t="shared" si="9"/>
        <v>960</v>
      </c>
      <c r="G150" s="47"/>
      <c r="H150" s="27"/>
      <c r="I150" s="105"/>
      <c r="J150" s="36"/>
      <c r="K150" s="36"/>
      <c r="L150" s="64"/>
    </row>
    <row r="151" spans="1:12" ht="24.75" customHeight="1" x14ac:dyDescent="0.2">
      <c r="A151" s="97"/>
      <c r="B151" s="23" t="s">
        <v>165</v>
      </c>
      <c r="C151" s="17">
        <v>1</v>
      </c>
      <c r="D151" s="17" t="s">
        <v>35</v>
      </c>
      <c r="E151" s="18">
        <v>384</v>
      </c>
      <c r="F151" s="19">
        <f t="shared" si="9"/>
        <v>384</v>
      </c>
      <c r="G151" s="47"/>
      <c r="H151" s="27"/>
      <c r="I151" s="105"/>
      <c r="J151" s="36"/>
      <c r="K151" s="36"/>
      <c r="L151" s="64"/>
    </row>
    <row r="152" spans="1:12" ht="24.75" customHeight="1" x14ac:dyDescent="0.2">
      <c r="A152" s="97"/>
      <c r="B152" s="23" t="s">
        <v>167</v>
      </c>
      <c r="C152" s="17">
        <v>4</v>
      </c>
      <c r="D152" s="17" t="s">
        <v>35</v>
      </c>
      <c r="E152" s="18">
        <v>44</v>
      </c>
      <c r="F152" s="19">
        <f t="shared" si="9"/>
        <v>176</v>
      </c>
      <c r="G152" s="47"/>
      <c r="H152" s="27"/>
      <c r="I152" s="105"/>
      <c r="J152" s="36"/>
      <c r="K152" s="36"/>
      <c r="L152" s="64"/>
    </row>
    <row r="153" spans="1:12" ht="24.75" customHeight="1" x14ac:dyDescent="0.2">
      <c r="A153" s="97"/>
      <c r="B153" s="23" t="s">
        <v>168</v>
      </c>
      <c r="C153" s="17">
        <v>1.1000000000000001</v>
      </c>
      <c r="D153" s="17" t="s">
        <v>81</v>
      </c>
      <c r="E153" s="18">
        <v>116</v>
      </c>
      <c r="F153" s="19">
        <f t="shared" si="9"/>
        <v>127.60000000000001</v>
      </c>
      <c r="G153" s="47"/>
      <c r="H153" s="27"/>
      <c r="I153" s="105"/>
      <c r="J153" s="36"/>
      <c r="K153" s="36"/>
      <c r="L153" s="64"/>
    </row>
    <row r="154" spans="1:12" ht="24.75" customHeight="1" x14ac:dyDescent="0.2">
      <c r="A154" s="97"/>
      <c r="B154" s="23" t="s">
        <v>176</v>
      </c>
      <c r="C154" s="17">
        <v>1</v>
      </c>
      <c r="D154" s="17" t="s">
        <v>35</v>
      </c>
      <c r="E154" s="18">
        <v>140</v>
      </c>
      <c r="F154" s="19">
        <f t="shared" si="9"/>
        <v>140</v>
      </c>
      <c r="G154" s="47"/>
      <c r="H154" s="27"/>
      <c r="I154" s="109"/>
      <c r="J154" s="36"/>
      <c r="K154" s="36"/>
      <c r="L154" s="65"/>
    </row>
    <row r="155" spans="1:12" ht="24.75" customHeight="1" x14ac:dyDescent="0.2">
      <c r="A155" s="96" t="s">
        <v>203</v>
      </c>
      <c r="B155" s="23" t="s">
        <v>197</v>
      </c>
      <c r="C155" s="17">
        <f>0.8*0.6</f>
        <v>0.48</v>
      </c>
      <c r="D155" s="17" t="s">
        <v>158</v>
      </c>
      <c r="E155" s="18">
        <v>2432</v>
      </c>
      <c r="F155" s="19">
        <f t="shared" ref="F155:F162" si="10">E155*C155</f>
        <v>1167.3599999999999</v>
      </c>
      <c r="G155" s="47" t="s">
        <v>143</v>
      </c>
      <c r="H155" s="27" t="s">
        <v>144</v>
      </c>
      <c r="I155" s="104" t="s">
        <v>230</v>
      </c>
      <c r="J155" s="36"/>
      <c r="K155" s="36"/>
      <c r="L155" s="63" t="s">
        <v>240</v>
      </c>
    </row>
    <row r="156" spans="1:12" ht="24.75" customHeight="1" x14ac:dyDescent="0.2">
      <c r="A156" s="97"/>
      <c r="B156" s="23" t="s">
        <v>202</v>
      </c>
      <c r="C156" s="17">
        <v>1</v>
      </c>
      <c r="D156" s="17" t="s">
        <v>155</v>
      </c>
      <c r="E156" s="18">
        <v>1400</v>
      </c>
      <c r="F156" s="19">
        <f t="shared" si="10"/>
        <v>1400</v>
      </c>
      <c r="G156" s="47"/>
      <c r="H156" s="27"/>
      <c r="I156" s="105"/>
      <c r="J156" s="36"/>
      <c r="K156" s="36"/>
      <c r="L156" s="64"/>
    </row>
    <row r="157" spans="1:12" ht="24.75" customHeight="1" x14ac:dyDescent="0.2">
      <c r="A157" s="97"/>
      <c r="B157" s="23" t="s">
        <v>200</v>
      </c>
      <c r="C157" s="17">
        <v>1</v>
      </c>
      <c r="D157" s="17" t="s">
        <v>54</v>
      </c>
      <c r="E157" s="18">
        <v>960</v>
      </c>
      <c r="F157" s="19">
        <f t="shared" si="10"/>
        <v>960</v>
      </c>
      <c r="G157" s="47"/>
      <c r="H157" s="27"/>
      <c r="I157" s="105"/>
      <c r="J157" s="36"/>
      <c r="K157" s="36"/>
      <c r="L157" s="64"/>
    </row>
    <row r="158" spans="1:12" ht="24.75" customHeight="1" x14ac:dyDescent="0.2">
      <c r="A158" s="97"/>
      <c r="B158" s="23" t="s">
        <v>165</v>
      </c>
      <c r="C158" s="17">
        <v>1</v>
      </c>
      <c r="D158" s="17" t="s">
        <v>35</v>
      </c>
      <c r="E158" s="18">
        <v>384</v>
      </c>
      <c r="F158" s="19">
        <f t="shared" si="10"/>
        <v>384</v>
      </c>
      <c r="G158" s="47"/>
      <c r="H158" s="27"/>
      <c r="I158" s="105"/>
      <c r="J158" s="36"/>
      <c r="K158" s="36"/>
      <c r="L158" s="64"/>
    </row>
    <row r="159" spans="1:12" ht="24.75" customHeight="1" x14ac:dyDescent="0.2">
      <c r="A159" s="97"/>
      <c r="B159" s="23" t="s">
        <v>167</v>
      </c>
      <c r="C159" s="17">
        <v>1</v>
      </c>
      <c r="D159" s="17" t="s">
        <v>35</v>
      </c>
      <c r="E159" s="18">
        <v>44</v>
      </c>
      <c r="F159" s="19">
        <f t="shared" si="10"/>
        <v>44</v>
      </c>
      <c r="G159" s="47"/>
      <c r="H159" s="27"/>
      <c r="I159" s="109"/>
      <c r="J159" s="36"/>
      <c r="K159" s="36"/>
      <c r="L159" s="65"/>
    </row>
    <row r="160" spans="1:12" ht="24.75" customHeight="1" x14ac:dyDescent="0.2">
      <c r="A160" s="96" t="s">
        <v>204</v>
      </c>
      <c r="B160" s="23" t="s">
        <v>205</v>
      </c>
      <c r="C160" s="17">
        <v>9.6</v>
      </c>
      <c r="D160" s="17" t="s">
        <v>155</v>
      </c>
      <c r="E160" s="18">
        <v>1120</v>
      </c>
      <c r="F160" s="19">
        <f t="shared" si="10"/>
        <v>10752</v>
      </c>
      <c r="G160" s="105" t="s">
        <v>143</v>
      </c>
      <c r="H160" s="106" t="s">
        <v>144</v>
      </c>
      <c r="I160" s="104" t="s">
        <v>230</v>
      </c>
      <c r="J160" s="36"/>
      <c r="K160" s="36"/>
      <c r="L160" s="63" t="s">
        <v>240</v>
      </c>
    </row>
    <row r="161" spans="1:12" ht="24.75" customHeight="1" x14ac:dyDescent="0.2">
      <c r="A161" s="97"/>
      <c r="B161" s="23" t="s">
        <v>206</v>
      </c>
      <c r="C161" s="17">
        <v>17.600000000000001</v>
      </c>
      <c r="D161" s="17" t="s">
        <v>155</v>
      </c>
      <c r="E161" s="18">
        <v>1120</v>
      </c>
      <c r="F161" s="19">
        <f t="shared" si="10"/>
        <v>19712</v>
      </c>
      <c r="G161" s="105"/>
      <c r="H161" s="107"/>
      <c r="I161" s="105"/>
      <c r="J161" s="36"/>
      <c r="K161" s="36"/>
      <c r="L161" s="64"/>
    </row>
    <row r="162" spans="1:12" ht="24.75" customHeight="1" x14ac:dyDescent="0.2">
      <c r="A162" s="97"/>
      <c r="B162" s="23" t="s">
        <v>207</v>
      </c>
      <c r="C162" s="17">
        <v>4.0999999999999996</v>
      </c>
      <c r="D162" s="17" t="s">
        <v>155</v>
      </c>
      <c r="E162" s="18">
        <v>1120</v>
      </c>
      <c r="F162" s="19">
        <f t="shared" si="10"/>
        <v>4592</v>
      </c>
      <c r="G162" s="105"/>
      <c r="H162" s="107"/>
      <c r="I162" s="105"/>
      <c r="J162" s="36"/>
      <c r="K162" s="36"/>
      <c r="L162" s="65"/>
    </row>
    <row r="163" spans="1:12" ht="24.95" customHeight="1" x14ac:dyDescent="0.2">
      <c r="A163" s="22">
        <v>24</v>
      </c>
      <c r="B163" s="24" t="s">
        <v>208</v>
      </c>
      <c r="C163" s="17">
        <v>13.5</v>
      </c>
      <c r="D163" s="17" t="s">
        <v>41</v>
      </c>
      <c r="E163" s="18">
        <v>230</v>
      </c>
      <c r="F163" s="19">
        <f t="shared" ref="F163:F164" si="11">E163*C163</f>
        <v>3105</v>
      </c>
      <c r="G163" s="23"/>
      <c r="H163" s="17" t="s">
        <v>89</v>
      </c>
      <c r="I163" s="17" t="s">
        <v>230</v>
      </c>
      <c r="J163" s="36"/>
      <c r="K163" s="36"/>
      <c r="L163" s="60" t="s">
        <v>240</v>
      </c>
    </row>
    <row r="164" spans="1:12" ht="24.95" customHeight="1" x14ac:dyDescent="0.2">
      <c r="A164" s="22">
        <v>25</v>
      </c>
      <c r="B164" s="24" t="s">
        <v>209</v>
      </c>
      <c r="C164" s="17">
        <v>41</v>
      </c>
      <c r="D164" s="17" t="s">
        <v>81</v>
      </c>
      <c r="E164" s="18">
        <v>200</v>
      </c>
      <c r="F164" s="19">
        <f t="shared" si="11"/>
        <v>8200</v>
      </c>
      <c r="G164" s="23" t="s">
        <v>210</v>
      </c>
      <c r="H164" s="17" t="s">
        <v>211</v>
      </c>
      <c r="I164" s="17" t="s">
        <v>230</v>
      </c>
      <c r="J164" s="36"/>
      <c r="K164" s="36"/>
      <c r="L164" s="60" t="s">
        <v>241</v>
      </c>
    </row>
    <row r="165" spans="1:12" ht="24.95" customHeight="1" x14ac:dyDescent="0.2">
      <c r="A165" s="79" t="s">
        <v>212</v>
      </c>
      <c r="B165" s="80"/>
      <c r="C165" s="80"/>
      <c r="D165" s="80"/>
      <c r="E165" s="80"/>
      <c r="F165" s="80"/>
      <c r="G165" s="90"/>
      <c r="H165" s="90"/>
      <c r="I165" s="90"/>
      <c r="J165" s="90"/>
      <c r="K165" s="90"/>
      <c r="L165" s="91"/>
    </row>
    <row r="166" spans="1:12" ht="24.95" customHeight="1" x14ac:dyDescent="0.2">
      <c r="A166" s="22">
        <v>1</v>
      </c>
      <c r="B166" s="23" t="s">
        <v>213</v>
      </c>
      <c r="C166" s="17"/>
      <c r="D166" s="17" t="s">
        <v>41</v>
      </c>
      <c r="E166" s="18"/>
      <c r="F166" s="17"/>
      <c r="G166" s="23"/>
      <c r="H166" s="17"/>
      <c r="I166" s="17"/>
      <c r="J166" s="26" t="s">
        <v>214</v>
      </c>
      <c r="K166" s="36" t="s">
        <v>215</v>
      </c>
      <c r="L166" s="33"/>
    </row>
    <row r="167" spans="1:12" ht="24.95" customHeight="1" x14ac:dyDescent="0.2">
      <c r="A167" s="22">
        <v>2</v>
      </c>
      <c r="B167" s="23" t="s">
        <v>216</v>
      </c>
      <c r="C167" s="17"/>
      <c r="D167" s="17" t="s">
        <v>41</v>
      </c>
      <c r="E167" s="18"/>
      <c r="F167" s="17"/>
      <c r="G167" s="23"/>
      <c r="H167" s="17"/>
      <c r="I167" s="17"/>
      <c r="J167" s="26" t="s">
        <v>214</v>
      </c>
      <c r="K167" s="36" t="s">
        <v>215</v>
      </c>
      <c r="L167" s="33"/>
    </row>
    <row r="168" spans="1:12" ht="24.95" customHeight="1" x14ac:dyDescent="0.2">
      <c r="A168" s="22">
        <v>3</v>
      </c>
      <c r="B168" s="23" t="s">
        <v>217</v>
      </c>
      <c r="C168" s="17"/>
      <c r="D168" s="17" t="s">
        <v>41</v>
      </c>
      <c r="E168" s="18"/>
      <c r="F168" s="17"/>
      <c r="G168" s="23"/>
      <c r="H168" s="17"/>
      <c r="I168" s="17"/>
      <c r="J168" s="26" t="s">
        <v>214</v>
      </c>
      <c r="K168" s="36" t="s">
        <v>215</v>
      </c>
      <c r="L168" s="33"/>
    </row>
    <row r="169" spans="1:12" ht="24.95" customHeight="1" x14ac:dyDescent="0.2">
      <c r="A169" s="79" t="s">
        <v>58</v>
      </c>
      <c r="B169" s="80"/>
      <c r="C169" s="80"/>
      <c r="D169" s="80"/>
      <c r="E169" s="80"/>
      <c r="F169" s="80"/>
      <c r="G169" s="90"/>
      <c r="H169" s="90"/>
      <c r="I169" s="90"/>
      <c r="J169" s="90"/>
      <c r="K169" s="90"/>
      <c r="L169" s="91"/>
    </row>
    <row r="170" spans="1:12" ht="24.95" customHeight="1" x14ac:dyDescent="0.2">
      <c r="A170" s="22">
        <v>1</v>
      </c>
      <c r="B170" s="24" t="s">
        <v>218</v>
      </c>
      <c r="C170" s="17">
        <v>8</v>
      </c>
      <c r="D170" s="17" t="s">
        <v>41</v>
      </c>
      <c r="E170" s="18">
        <v>193</v>
      </c>
      <c r="F170" s="19">
        <f>E170*C170</f>
        <v>1544</v>
      </c>
      <c r="G170" s="23"/>
      <c r="H170" s="17"/>
      <c r="I170" s="17" t="s">
        <v>230</v>
      </c>
      <c r="J170" s="36" t="s">
        <v>219</v>
      </c>
      <c r="K170" s="36" t="s">
        <v>220</v>
      </c>
      <c r="L170" s="43"/>
    </row>
    <row r="171" spans="1:12" ht="24.95" customHeight="1" x14ac:dyDescent="0.2">
      <c r="A171" s="22">
        <v>2</v>
      </c>
      <c r="B171" s="24" t="s">
        <v>221</v>
      </c>
      <c r="C171" s="17"/>
      <c r="D171" s="17" t="s">
        <v>19</v>
      </c>
      <c r="E171" s="18"/>
      <c r="F171" s="19">
        <f t="shared" ref="F171:F176" si="12">E171*C171</f>
        <v>0</v>
      </c>
      <c r="G171" s="23"/>
      <c r="H171" s="17"/>
      <c r="I171" s="17"/>
      <c r="J171" s="36" t="s">
        <v>222</v>
      </c>
      <c r="K171" s="36"/>
      <c r="L171" s="43"/>
    </row>
    <row r="172" spans="1:12" ht="24.95" customHeight="1" x14ac:dyDescent="0.2">
      <c r="A172" s="22">
        <v>3</v>
      </c>
      <c r="B172" s="24" t="s">
        <v>223</v>
      </c>
      <c r="C172" s="17"/>
      <c r="D172" s="17" t="s">
        <v>19</v>
      </c>
      <c r="E172" s="18"/>
      <c r="F172" s="19">
        <f t="shared" si="12"/>
        <v>0</v>
      </c>
      <c r="G172" s="23"/>
      <c r="H172" s="17"/>
      <c r="I172" s="17" t="s">
        <v>230</v>
      </c>
      <c r="J172" s="26" t="s">
        <v>224</v>
      </c>
      <c r="K172" s="36"/>
      <c r="L172" s="62" t="s">
        <v>242</v>
      </c>
    </row>
    <row r="173" spans="1:12" ht="24.95" customHeight="1" x14ac:dyDescent="0.2">
      <c r="A173" s="22">
        <v>4</v>
      </c>
      <c r="B173" s="24" t="s">
        <v>225</v>
      </c>
      <c r="C173" s="17"/>
      <c r="D173" s="17" t="s">
        <v>35</v>
      </c>
      <c r="E173" s="18"/>
      <c r="F173" s="19">
        <f t="shared" si="12"/>
        <v>0</v>
      </c>
      <c r="G173" s="23"/>
      <c r="H173" s="17"/>
      <c r="I173" s="17" t="s">
        <v>230</v>
      </c>
      <c r="J173" s="26" t="s">
        <v>55</v>
      </c>
      <c r="K173" s="36"/>
      <c r="L173" s="49"/>
    </row>
    <row r="174" spans="1:12" ht="24.95" customHeight="1" x14ac:dyDescent="0.2">
      <c r="A174" s="22">
        <v>5</v>
      </c>
      <c r="B174" s="24" t="s">
        <v>226</v>
      </c>
      <c r="C174" s="17"/>
      <c r="D174" s="17" t="s">
        <v>19</v>
      </c>
      <c r="E174" s="18"/>
      <c r="F174" s="19">
        <f t="shared" si="12"/>
        <v>0</v>
      </c>
      <c r="G174" s="23"/>
      <c r="H174" s="17"/>
      <c r="I174" s="17" t="s">
        <v>230</v>
      </c>
      <c r="J174" s="26" t="s">
        <v>227</v>
      </c>
      <c r="K174" s="36"/>
      <c r="L174" s="62" t="s">
        <v>243</v>
      </c>
    </row>
    <row r="175" spans="1:12" ht="24.95" customHeight="1" x14ac:dyDescent="0.2">
      <c r="A175" s="22">
        <v>6</v>
      </c>
      <c r="B175" s="57" t="s">
        <v>231</v>
      </c>
      <c r="C175" s="17"/>
      <c r="D175" s="17" t="s">
        <v>19</v>
      </c>
      <c r="E175" s="18"/>
      <c r="F175" s="19">
        <f t="shared" si="12"/>
        <v>0</v>
      </c>
      <c r="G175" s="23"/>
      <c r="H175" s="17"/>
      <c r="I175" s="17" t="s">
        <v>230</v>
      </c>
      <c r="J175" s="36"/>
      <c r="K175" s="36"/>
      <c r="L175" s="62" t="s">
        <v>243</v>
      </c>
    </row>
    <row r="176" spans="1:12" ht="24.95" customHeight="1" x14ac:dyDescent="0.2">
      <c r="A176" s="50">
        <v>7</v>
      </c>
      <c r="B176" s="51" t="s">
        <v>228</v>
      </c>
      <c r="C176" s="44"/>
      <c r="D176" s="44" t="s">
        <v>19</v>
      </c>
      <c r="E176" s="52"/>
      <c r="F176" s="53">
        <f t="shared" si="12"/>
        <v>0</v>
      </c>
      <c r="G176" s="46"/>
      <c r="H176" s="44"/>
      <c r="I176" s="17" t="s">
        <v>230</v>
      </c>
      <c r="J176" s="54"/>
      <c r="K176" s="54"/>
      <c r="L176" s="62" t="s">
        <v>243</v>
      </c>
    </row>
    <row r="177" spans="1:12" ht="45" customHeight="1" thickTop="1" thickBot="1" x14ac:dyDescent="0.25">
      <c r="A177" s="92"/>
      <c r="B177" s="92"/>
      <c r="C177" s="92"/>
      <c r="D177" s="92"/>
      <c r="E177" s="92"/>
      <c r="F177" s="92"/>
      <c r="G177" s="93">
        <f>SUM(F6:F176)</f>
        <v>510613.87679999991</v>
      </c>
      <c r="H177" s="93"/>
      <c r="I177" s="93"/>
      <c r="J177" s="93"/>
      <c r="K177" s="93"/>
      <c r="L177" s="55"/>
    </row>
    <row r="178" spans="1:12" ht="24.95" customHeight="1" thickTop="1" x14ac:dyDescent="0.2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</row>
    <row r="179" spans="1:12" ht="24.95" customHeight="1" x14ac:dyDescent="0.2">
      <c r="A179" s="115" t="s">
        <v>232</v>
      </c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</row>
    <row r="180" spans="1:12" ht="24.95" customHeight="1" x14ac:dyDescent="0.2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</row>
    <row r="181" spans="1:12" ht="24.95" customHeight="1" x14ac:dyDescent="0.2">
      <c r="A181" s="116" t="s">
        <v>229</v>
      </c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</row>
  </sheetData>
  <mergeCells count="90">
    <mergeCell ref="A178:L178"/>
    <mergeCell ref="A179:L180"/>
    <mergeCell ref="A181:L181"/>
    <mergeCell ref="K75:K78"/>
    <mergeCell ref="K79:K84"/>
    <mergeCell ref="I160:I162"/>
    <mergeCell ref="I79:I93"/>
    <mergeCell ref="I94:I102"/>
    <mergeCell ref="I103:I111"/>
    <mergeCell ref="I112:I115"/>
    <mergeCell ref="H116:H118"/>
    <mergeCell ref="H123:H125"/>
    <mergeCell ref="H130:H134"/>
    <mergeCell ref="H147:H148"/>
    <mergeCell ref="H160:H162"/>
    <mergeCell ref="H75:H78"/>
    <mergeCell ref="I155:I159"/>
    <mergeCell ref="J21:J31"/>
    <mergeCell ref="J33:J61"/>
    <mergeCell ref="J63:J70"/>
    <mergeCell ref="J75:J78"/>
    <mergeCell ref="J79:J84"/>
    <mergeCell ref="I116:I122"/>
    <mergeCell ref="I123:I129"/>
    <mergeCell ref="I130:I138"/>
    <mergeCell ref="I139:I146"/>
    <mergeCell ref="I147:I154"/>
    <mergeCell ref="I75:I78"/>
    <mergeCell ref="A6:A14"/>
    <mergeCell ref="A75:A78"/>
    <mergeCell ref="A79:A93"/>
    <mergeCell ref="A94:A102"/>
    <mergeCell ref="A103:A111"/>
    <mergeCell ref="A112:A115"/>
    <mergeCell ref="A116:A122"/>
    <mergeCell ref="A123:A129"/>
    <mergeCell ref="A130:A138"/>
    <mergeCell ref="A139:A146"/>
    <mergeCell ref="A147:A154"/>
    <mergeCell ref="A155:A159"/>
    <mergeCell ref="B6:B14"/>
    <mergeCell ref="G21:G31"/>
    <mergeCell ref="G75:G84"/>
    <mergeCell ref="G94:G98"/>
    <mergeCell ref="A177:F177"/>
    <mergeCell ref="G177:K177"/>
    <mergeCell ref="A74:F74"/>
    <mergeCell ref="K6:K14"/>
    <mergeCell ref="K33:K61"/>
    <mergeCell ref="K63:K70"/>
    <mergeCell ref="L22:L31"/>
    <mergeCell ref="L63:L73"/>
    <mergeCell ref="A165:F165"/>
    <mergeCell ref="G165:L165"/>
    <mergeCell ref="A169:F169"/>
    <mergeCell ref="G169:L169"/>
    <mergeCell ref="H79:H84"/>
    <mergeCell ref="H85:H86"/>
    <mergeCell ref="H94:H98"/>
    <mergeCell ref="H103:H107"/>
    <mergeCell ref="A160:A162"/>
    <mergeCell ref="G103:G107"/>
    <mergeCell ref="G116:G118"/>
    <mergeCell ref="G123:G125"/>
    <mergeCell ref="G130:G134"/>
    <mergeCell ref="G147:G148"/>
    <mergeCell ref="G160:G162"/>
    <mergeCell ref="L6:L14"/>
    <mergeCell ref="L32:L61"/>
    <mergeCell ref="L75:L78"/>
    <mergeCell ref="A1:L1"/>
    <mergeCell ref="C2:G2"/>
    <mergeCell ref="J2:L2"/>
    <mergeCell ref="C3:G3"/>
    <mergeCell ref="J3:L3"/>
    <mergeCell ref="A5:L5"/>
    <mergeCell ref="A20:J20"/>
    <mergeCell ref="A32:J32"/>
    <mergeCell ref="A62:F62"/>
    <mergeCell ref="L160:L162"/>
    <mergeCell ref="L79:L93"/>
    <mergeCell ref="L94:L102"/>
    <mergeCell ref="L103:L111"/>
    <mergeCell ref="L112:L115"/>
    <mergeCell ref="L116:L122"/>
    <mergeCell ref="L123:L129"/>
    <mergeCell ref="L130:L138"/>
    <mergeCell ref="L139:L146"/>
    <mergeCell ref="L147:L154"/>
    <mergeCell ref="L155:L159"/>
  </mergeCells>
  <phoneticPr fontId="17" type="noConversion"/>
  <printOptions horizontalCentered="1" verticalCentered="1"/>
  <pageMargins left="0.39370078740157483" right="0.39370078740157483" top="0.23622047244094491" bottom="0.47244094488188981" header="0.31496062992125984" footer="0.31496062992125984"/>
  <pageSetup paperSize="9" scale="88" fitToHeight="0" orientation="landscape" r:id="rId1"/>
  <headerFooter>
    <oddFooter>&amp;C第 &amp;P 页</oddFooter>
  </headerFooter>
  <rowBreaks count="1" manualBreakCount="1">
    <brk id="15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濛 李</cp:lastModifiedBy>
  <cp:lastPrinted>2025-12-13T14:40:00Z</cp:lastPrinted>
  <dcterms:created xsi:type="dcterms:W3CDTF">2023-04-26T02:31:00Z</dcterms:created>
  <dcterms:modified xsi:type="dcterms:W3CDTF">2025-12-13T14:42:57Z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075751BDC2BC4CFEA23BBBE03F8DD43C_12</vt:lpwstr>
  </property>
  <property fmtid="{D5CDD505-2E9C-101B-9397-08002B2CF9AE}" pid="3" name="KSOProductBuildVer">
    <vt:lpwstr>2052-12.1.0.23542</vt:lpwstr>
  </property>
</Properties>
</file>